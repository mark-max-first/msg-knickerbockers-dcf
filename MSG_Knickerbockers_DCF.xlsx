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af87d4a8b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c42ffa24d94f65"/>
    <x:sheet xmlns:r="http://schemas.openxmlformats.org/officeDocument/2006/relationships" name="Assumptions" sheetId="2" r:id="R8c0cd84de75c41fd"/>
    <x:sheet xmlns:r="http://schemas.openxmlformats.org/officeDocument/2006/relationships" name="Operating Model" sheetId="3" r:id="R619ace25f8ca437e"/>
    <x:sheet xmlns:r="http://schemas.openxmlformats.org/officeDocument/2006/relationships" name="DCF" sheetId="4" r:id="R35badd698b1544a1"/>
    <x:sheet xmlns:r="http://schemas.openxmlformats.org/officeDocument/2006/relationships" name="Sensitivity" sheetId="5" r:id="R16d92942b97c4ac2"/>
    <x:sheet xmlns:r="http://schemas.openxmlformats.org/officeDocument/2006/relationships" name="Sources" sheetId="6" r:id="R0b478c48bf164e03"/>
    <x:sheet xmlns:r="http://schemas.openxmlformats.org/officeDocument/2006/relationships" name="Checks" sheetId="7" r:id="R6034cf051542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;[Red](0.0%);-"/>
    <x:numFmt numFmtId="201" formatCode="0.0"/>
    <x:numFmt numFmtId="202" formatCode="0.00x"/>
    <x:numFmt numFmtId="203" formatCode="0"/>
    <x:numFmt numFmtId="204" formatCode="$#,##0.0;[Red]($#,##0.0);-"/>
    <x:numFmt numFmtId="205" formatCode="0.0x"/>
    <x:numFmt numFmtId="206" formatCode="0.000x"/>
    <x:numFmt numFmtId="207" formatCode="0.000"/>
    <x:numFmt numFmtId="208" formatCode="$0.00;[Red]($0.00);-"/>
  </x:numFmts>
  <x:fonts count="15">
    <x:font>
      <x:sz val="11"/>
      <x:name val="Carlito"/>
    </x:font>
    <x:font>
      <x:b/>
      <x:sz val="18"/>
      <x:color rgb="FFFFFFFF"/>
      <x:name val="Arial"/>
    </x:font>
    <x:font>
      <x:i/>
      <x:sz val="10"/>
      <x:color rgb="FF666666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sz val="11"/>
      <x:color rgb="FF0000FF"/>
      <x:name val="Arial"/>
    </x:font>
    <x:font>
      <x:b/>
      <x:sz val="11"/>
      <x:color rgb="FF000000"/>
      <x:name val="Arial"/>
    </x:font>
    <x:font>
      <x:i/>
      <x:sz val="11"/>
      <x:color rgb="FF666666"/>
      <x:name val="Arial"/>
    </x:font>
    <x:font>
      <x:sz val="11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sz val="11"/>
      <x:color rgb="FF000000"/>
      <x:name val="Arial"/>
    </x:font>
    <x:font>
      <x:sz val="11"/>
      <x:color rgb="FF666666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5">
    <x:border>
      <x:left/>
      <x:right/>
      <x:top/>
      <x:bottom/>
      <x:diagonal/>
    </x:border>
    <x:border>
      <x:left style="medium">
        <x:color rgb="FFD9A300"/>
      </x:left>
      <x:right style="medium">
        <x:color rgb="FFD9A300"/>
      </x:right>
      <x:top style="medium">
        <x:color rgb="FFD9A300"/>
      </x:top>
      <x:bottom style="medium">
        <x:color rgb="FFD9A300"/>
      </x:bottom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D9A300"/>
      </x:left>
      <x:right style="thin">
        <x:color rgb="FFD9A300"/>
      </x:right>
      <x:top style="thin">
        <x:color rgb="FFD9A300"/>
      </x:top>
      <x:bottom style="thin">
        <x:color rgb="FFD9A300"/>
      </x:bottom>
      <x:diagonal/>
    </x:border>
    <x:border>
      <x:left style="thin">
        <x:color rgb="FFBFBFBF"/>
      </x:left>
      <x:right/>
      <x:top style="thin">
        <x:color rgb="FFBFBFBF"/>
      </x:top>
      <x:bottom/>
      <x:diagonal/>
    </x:border>
    <x:border>
      <x:left/>
      <x:right/>
      <x:top style="thin">
        <x:color rgb="FFBFBFBF"/>
      </x:top>
      <x:bottom/>
      <x:diagonal/>
    </x:border>
    <x:border>
      <x:left/>
      <x:right style="thin">
        <x:color rgb="FFBFBFBF"/>
      </x:right>
      <x:top style="thin">
        <x:color rgb="FFBFBFBF"/>
      </x:top>
      <x:bottom/>
      <x:diagonal/>
    </x:border>
    <x:border>
      <x:left style="thin">
        <x:color rgb="FFBFBFBF"/>
      </x:left>
      <x:right/>
      <x:top/>
      <x:bottom/>
      <x:diagonal/>
    </x:border>
    <x:border>
      <x:left/>
      <x:right style="thin">
        <x:color rgb="FFBFBFBF"/>
      </x:right>
      <x:top/>
      <x:bottom/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/>
      <x:right/>
      <x:top/>
      <x:bottom style="double">
        <x:color rgb="FF17365D"/>
      </x:bottom>
      <x:diagonal/>
    </x:border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2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3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8" fillId="4" borderId="3" xfId="0" applyNumberFormat="1" applyFont="1" applyFill="1" applyBorder="1"/>
    <x:xf numFmtId="201" fontId="8" fillId="4" borderId="3" xfId="0" applyNumberFormat="1" applyFont="1" applyFill="1" applyBorder="1"/>
    <x:xf numFmtId="202" fontId="7" fillId="0" borderId="0" xfId="0" applyNumberFormat="1" applyFont="1" applyFill="1" applyBorder="1"/>
    <x:xf numFmtId="200" fontId="0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4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4" fontId="10" fillId="0" borderId="0" xfId="0" applyNumberFormat="1" applyFont="1" applyFill="1" applyBorder="1"/>
    <x:xf numFmtId="204" fontId="5" fillId="5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/>
    <x:xf numFmtId="204" fontId="12" fillId="5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/>
    <x:xf numFmtId="200" fontId="13" fillId="0" borderId="0" xfId="0" applyNumberFormat="1" applyFont="1" applyFill="1" applyBorder="1"/>
    <x:xf numFmtId="0" fontId="13" fillId="0" borderId="0" xfId="0" applyNumberFormat="1" applyFont="1" applyFill="1" applyBorder="1"/>
    <x:xf numFmtId="204" fontId="8" fillId="5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4" fontId="12" fillId="0" borderId="0" xfId="0" applyNumberFormat="1" applyFont="1" applyFill="1" applyBorder="1"/>
    <x:xf numFmtId="204" fontId="8" fillId="0" borderId="0" xfId="0" applyNumberFormat="1" applyFont="1" applyFill="1" applyBorder="1"/>
    <x:xf numFmtId="200" fontId="12" fillId="0" borderId="0" xfId="0" applyNumberFormat="1" applyFont="1" applyFill="1" applyBorder="1"/>
    <x:xf numFmtId="200" fontId="8" fillId="0" borderId="0" xfId="0" applyNumberFormat="1" applyFont="1" applyFill="1" applyBorder="1"/>
    <x:xf numFmtId="0" fontId="0" fillId="8" borderId="0" xfId="0" applyNumberFormat="1" applyFont="1" applyFill="1" applyBorder="1"/>
    <x:xf numFmtId="204" fontId="11" fillId="8" borderId="0" xfId="0" applyNumberFormat="1" applyFont="1" applyFill="1" applyBorder="1"/>
    <x:xf numFmtId="204" fontId="13" fillId="8" borderId="0" xfId="0" applyNumberFormat="1" applyFont="1" applyFill="1" applyBorder="1"/>
    <x:xf numFmtId="0" fontId="3" fillId="8" borderId="0" xfId="0" applyNumberFormat="1" applyFont="1" applyFill="1" applyBorder="1"/>
    <x:xf numFmtId="204" fontId="12" fillId="8" borderId="0" xfId="0" applyNumberFormat="1" applyFont="1" applyFill="1" applyBorder="1"/>
    <x:xf numFmtId="204" fontId="8" fillId="8" borderId="0" xfId="0" applyNumberFormat="1" applyFont="1" applyFill="1" applyBorder="1"/>
    <x:xf numFmtId="0" fontId="3" fillId="8" borderId="12" xfId="0" applyNumberFormat="1" applyFont="1" applyFill="1" applyBorder="1"/>
    <x:xf numFmtId="204" fontId="12" fillId="8" borderId="12" xfId="0" applyNumberFormat="1" applyFont="1" applyFill="1" applyBorder="1"/>
    <x:xf numFmtId="204" fontId="8" fillId="8" borderId="12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11" fillId="0" borderId="0" xfId="0" applyNumberFormat="1" applyFont="1" applyFill="1" applyBorder="1"/>
    <x:xf numFmtId="206" fontId="11" fillId="0" borderId="0" xfId="0" applyNumberFormat="1" applyFont="1" applyFill="1" applyBorder="1"/>
    <x:xf numFmtId="207" fontId="7" fillId="0" borderId="0" xfId="0" applyNumberFormat="1" applyFont="1" applyFill="1" applyBorder="1"/>
    <x:xf numFmtId="208" fontId="0" fillId="0" borderId="0" xfId="0" applyNumberFormat="1" applyFont="1" applyFill="1" applyBorder="1"/>
    <x:xf numFmtId="204" fontId="0" fillId="8" borderId="0" xfId="0" applyNumberFormat="1" applyFont="1" applyFill="1" applyBorder="1"/>
    <x:xf numFmtId="204" fontId="3" fillId="8" borderId="0" xfId="0" applyNumberFormat="1" applyFont="1" applyFill="1" applyBorder="1"/>
    <x:xf numFmtId="204" fontId="3" fillId="8" borderId="12" xfId="0" applyNumberFormat="1" applyFont="1" applyFill="1" applyBorder="1"/>
    <x:xf numFmtId="207" fontId="7" fillId="8" borderId="0" xfId="0" applyNumberFormat="1" applyFont="1" applyFill="1" applyBorder="1"/>
    <x:xf numFmtId="208" fontId="0" fillId="8" borderId="0" xfId="0" applyNumberFormat="1" applyFont="1" applyFill="1" applyBorder="1"/>
    <x:xf numFmtId="207" fontId="4" fillId="8" borderId="0" xfId="0" applyNumberFormat="1" applyFont="1" applyFill="1" applyBorder="1"/>
    <x:xf numFmtId="208" fontId="3" fillId="8" borderId="0" xfId="0" applyNumberFormat="1" applyFont="1" applyFill="1" applyBorder="1"/>
    <x:xf numFmtId="0" fontId="3" fillId="8" borderId="13" xfId="0" applyNumberFormat="1" applyFont="1" applyFill="1" applyBorder="1"/>
    <x:xf numFmtId="204" fontId="3" fillId="8" borderId="13" xfId="0" applyNumberFormat="1" applyFont="1" applyFill="1" applyBorder="1"/>
    <x:xf numFmtId="207" fontId="4" fillId="8" borderId="13" xfId="0" applyNumberFormat="1" applyFont="1" applyFill="1" applyBorder="1"/>
    <x:xf numFmtId="208" fontId="3" fillId="8" borderId="13" xfId="0" applyNumberFormat="1" applyFont="1" applyFill="1" applyBorder="1"/>
    <x:xf numFmtId="202" fontId="0" fillId="0" borderId="0" xfId="0" applyNumberFormat="1" applyFont="1" applyFill="1" applyBorder="1"/>
    <x:xf numFmtId="200" fontId="6" fillId="6" borderId="2" xfId="0" applyNumberFormat="1" applyFont="1" applyFill="1" applyBorder="1" applyAlignment="1">
      <x:alignment vertical="center" wrapText="1"/>
    </x:xf>
    <x:xf numFmtId="208" fontId="0" fillId="4" borderId="0" xfId="0" applyNumberFormat="1" applyFont="1" applyFill="1" applyBorder="1"/>
    <x:xf numFmtId="208" fontId="3" fillId="4" borderId="0" xfId="0" applyNumberFormat="1" applyFont="1" applyFill="1" applyBorder="1"/>
    <x:xf numFmtId="208" fontId="3" fillId="4" borderId="1" xfId="0" applyNumberFormat="1" applyFont="1" applyFill="1" applyBorder="1"/>
    <x:xf numFmtId="204" fontId="6" fillId="6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4" borderId="0" xfId="0" applyNumberFormat="1" applyFont="1" applyFill="1" applyBorder="1"/>
    <x:xf numFmtId="200" fontId="0" fillId="4" borderId="0" xfId="0" applyNumberFormat="1" applyFont="1" applyFill="1" applyBorder="1"/>
    <x:xf numFmtId="204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3" xfId="0" applyNumberFormat="1" applyFont="1" applyFill="1" applyBorder="1"/>
    <x:xf numFmtId="204" fontId="3" fillId="4" borderId="3" xfId="0" applyNumberFormat="1" applyFont="1" applyFill="1" applyBorder="1"/>
    <x:xf numFmtId="200" fontId="3" fillId="4" borderId="3" xfId="0" applyNumberFormat="1" applyFont="1" applyFill="1" applyBorder="1"/>
    <x:xf numFmtId="208" fontId="3" fillId="4" borderId="3" xfId="0" applyNumberFormat="1" applyFont="1" applyFill="1" applyBorder="1"/>
    <x:xf numFmtId="207" fontId="0" fillId="0" borderId="0" xfId="0" applyNumberFormat="1" applyFont="1" applyFill="1" applyBorder="1"/>
    <x:xf numFmtId="0" fontId="6" fillId="6" borderId="14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207" fontId="7" fillId="0" borderId="14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207" fontId="7" fillId="0" borderId="14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8" fontId="12" fillId="0" borderId="0" xfId="0" applyNumberFormat="1" applyFont="1" applyFill="1" applyBorder="1"/>
    <x:xf numFmtId="208" fontId="12" fillId="8" borderId="0" xfId="0" applyNumberFormat="1" applyFont="1" applyFill="1" applyBorder="1"/>
    <x:xf numFmtId="204" fontId="12" fillId="8" borderId="13" xfId="0" applyNumberFormat="1" applyFont="1" applyFill="1" applyBorder="1"/>
    <x:xf numFmtId="208" fontId="12" fillId="8" borderId="13" xfId="0" applyNumberFormat="1" applyFont="1" applyFill="1" applyBorder="1"/>
    <x:xf numFmtId="0" fontId="14" fillId="7" borderId="0" xfId="0" applyNumberFormat="1" applyFont="1" applyFill="1" applyBorder="1"/>
    <x:xf numFmtId="0" fontId="14" fillId="7" borderId="4" xfId="0" applyNumberFormat="1" applyFont="1" applyFill="1" applyBorder="1"/>
    <x:xf numFmtId="0" fontId="14" fillId="7" borderId="5" xfId="0" applyNumberFormat="1" applyFont="1" applyFill="1" applyBorder="1"/>
    <x:xf numFmtId="0" fontId="14" fillId="7" borderId="6" xfId="0" applyNumberFormat="1" applyFont="1" applyFill="1" applyBorder="1"/>
    <x:xf numFmtId="0" fontId="14" fillId="7" borderId="7" xfId="0" applyNumberFormat="1" applyFont="1" applyFill="1" applyBorder="1"/>
    <x:xf numFmtId="0" fontId="14" fillId="7" borderId="8" xfId="0" applyNumberFormat="1" applyFont="1" applyFill="1" applyBorder="1"/>
    <x:xf numFmtId="0" fontId="14" fillId="7" borderId="9" xfId="0" applyNumberFormat="1" applyFont="1" applyFill="1" applyBorder="1"/>
    <x:xf numFmtId="0" fontId="14" fillId="7" borderId="10" xfId="0" applyNumberFormat="1" applyFont="1" applyFill="1" applyBorder="1"/>
    <x:xf numFmtId="0" fontId="14" fillId="7" borderId="11" xfId="0" applyNumberFormat="1" applyFont="1" applyFill="1" applyBorder="1"/>
    <x:xf numFmtId="0" fontId="14" fillId="7" borderId="4" xfId="0" applyNumberFormat="1" applyFont="1" applyFill="1" applyBorder="1" applyAlignment="1">
      <x:alignment wrapText="1"/>
    </x:xf>
    <x:xf numFmtId="0" fontId="14" fillId="7" borderId="5" xfId="0" applyNumberFormat="1" applyFont="1" applyFill="1" applyBorder="1" applyAlignment="1">
      <x:alignment wrapText="1"/>
    </x:xf>
    <x:xf numFmtId="0" fontId="14" fillId="7" borderId="6" xfId="0" applyNumberFormat="1" applyFont="1" applyFill="1" applyBorder="1" applyAlignment="1">
      <x:alignment wrapText="1"/>
    </x:xf>
    <x:xf numFmtId="0" fontId="14" fillId="7" borderId="7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wrapText="1"/>
    </x:xf>
    <x:xf numFmtId="0" fontId="14" fillId="7" borderId="8" xfId="0" applyNumberFormat="1" applyFont="1" applyFill="1" applyBorder="1" applyAlignment="1">
      <x:alignment wrapText="1"/>
    </x:xf>
    <x:xf numFmtId="0" fontId="14" fillId="7" borderId="9" xfId="0" applyNumberFormat="1" applyFont="1" applyFill="1" applyBorder="1" applyAlignment="1">
      <x:alignment wrapText="1"/>
    </x:xf>
    <x:xf numFmtId="0" fontId="14" fillId="7" borderId="10" xfId="0" applyNumberFormat="1" applyFont="1" applyFill="1" applyBorder="1" applyAlignment="1">
      <x:alignment wrapText="1"/>
    </x:xf>
    <x:xf numFmtId="0" fontId="14" fillId="7" borderId="11" xfId="0" applyNumberFormat="1" applyFont="1" applyFill="1" applyBorder="1" applyAlignment="1">
      <x:alignment wrapText="1"/>
    </x:xf>
    <x:xf numFmtId="0" fontId="14" fillId="7" borderId="4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vertical="center" wrapText="1"/>
    </x:xf>
    <x:xf numFmtId="0" fontId="14" fillId="7" borderId="6" xfId="0" applyNumberFormat="1" applyFont="1" applyFill="1" applyBorder="1" applyAlignment="1">
      <x:alignment vertical="center" wrapText="1"/>
    </x:xf>
    <x:xf numFmtId="0" fontId="14" fillId="7" borderId="7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4" fillId="7" borderId="8" xfId="0" applyNumberFormat="1" applyFont="1" applyFill="1" applyBorder="1" applyAlignment="1">
      <x:alignment vertical="center" wrapText="1"/>
    </x:xf>
    <x:xf numFmtId="0" fontId="14" fillId="7" borderId="9" xfId="0" applyNumberFormat="1" applyFont="1" applyFill="1" applyBorder="1" applyAlignment="1">
      <x:alignment vertical="center" wrapText="1"/>
    </x:xf>
    <x:xf numFmtId="0" fontId="14" fillId="7" borderId="10" xfId="0" applyNumberFormat="1" applyFont="1" applyFill="1" applyBorder="1" applyAlignment="1">
      <x:alignment vertical="center" wrapText="1"/>
    </x:xf>
    <x:xf numFmtId="0" fontId="14" fillId="7" borderId="11" xfId="0" applyNumberFormat="1" applyFont="1" applyFill="1" applyBorder="1" applyAlignment="1">
      <x:alignment vertical="center" wrapText="1"/>
    </x:xf>
    <x:xf numFmtId="208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0" fontId="3" fillId="8" borderId="13" xfId="0" applyNumberFormat="1" applyFont="1" applyFill="1" applyBorder="1" applyAlignment="1">
      <x:alignment vertical="center"/>
    </x:xf>
    <x:xf numFmtId="204" fontId="12" fillId="8" borderId="13" xfId="0" applyNumberFormat="1" applyFont="1" applyFill="1" applyBorder="1" applyAlignment="1">
      <x:alignment vertical="center"/>
    </x:xf>
    <x:xf numFmtId="208" fontId="12" fillId="8" borderId="13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8" fontId="10" fillId="0" borderId="0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204" fontId="3" fillId="4" borderId="3" xfId="0" applyNumberFormat="1" applyFont="1" applyFill="1" applyBorder="1" applyAlignment="1">
      <x:alignment vertical="center"/>
    </x:xf>
    <x:xf numFmtId="208" fontId="3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4" borderId="3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4" borderId="3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3" fillId="8" borderId="12" xfId="0" applyNumberFormat="1" applyFont="1" applyFill="1" applyBorder="1" applyAlignment="1">
      <x:alignment vertical="center"/>
    </x:xf>
    <x:xf numFmtId="204" fontId="12" fillId="8" borderId="12" xfId="0" applyNumberFormat="1" applyFont="1" applyFill="1" applyBorder="1" applyAlignment="1">
      <x:alignment vertical="center"/>
    </x:xf>
    <x:xf numFmtId="204" fontId="8" fillId="8" borderId="12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/>
    <x:xf numFmtId="200" fontId="11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6" fontId="11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4" fontId="3" fillId="8" borderId="12" xfId="0" applyNumberFormat="1" applyFont="1" applyFill="1" applyBorder="1" applyAlignment="1">
      <x:alignment vertical="center"/>
    </x:xf>
    <x:xf numFmtId="204" fontId="3" fillId="8" borderId="13" xfId="0" applyNumberFormat="1" applyFont="1" applyFill="1" applyBorder="1" applyAlignment="1">
      <x:alignment vertical="center"/>
    </x:xf>
    <x:xf numFmtId="207" fontId="4" fillId="8" borderId="13" xfId="0" applyNumberFormat="1" applyFont="1" applyFill="1" applyBorder="1" applyAlignment="1">
      <x:alignment vertical="center"/>
    </x:xf>
    <x:xf numFmtId="208" fontId="3" fillId="8" borderId="13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/>
    <x:xf numFmtId="203" fontId="10" fillId="0" borderId="0" xfId="0" applyNumberFormat="1" applyFont="1" applyFill="1" applyBorder="1" applyAlignment="1">
      <x:alignment vertical="center"/>
    </x:xf>
    <x:xf numFmtId="208" fontId="3" fillId="4" borderId="1" xfId="0" applyNumberFormat="1" applyFont="1" applyFill="1" applyBorder="1" applyAlignment="1">
      <x:alignment vertical="center"/>
    </x:xf>
    <x:xf numFmtId="200" fontId="3" fillId="4" borderId="3" xfId="0" applyNumberFormat="1" applyFont="1" applyFill="1" applyBorder="1" applyAlignment="1">
      <x:alignment vertical="center"/>
    </x:xf>
    <x:xf numFmtId="0" fontId="10" fillId="0" borderId="14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vertical="center" wrapText="1"/>
    </x:xf>
    <x:xf numFmtId="207" fontId="7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d27202fe34333" /><Relationship Type="http://schemas.openxmlformats.org/officeDocument/2006/relationships/theme" Target="/xl/theme/theme1.xml" Id="R46a2020b4da142d4" /><Relationship Type="http://schemas.openxmlformats.org/officeDocument/2006/relationships/sharedStrings" Target="/xl/sharedStrings.xml" Id="R7a3b9be536074513" /><Relationship Type="http://schemas.openxmlformats.org/officeDocument/2006/relationships/worksheet" Target="/xl/worksheets/sheet1.xml" Id="R73c42ffa24d94f65" /><Relationship Type="http://schemas.openxmlformats.org/officeDocument/2006/relationships/worksheet" Target="/xl/worksheets/sheet2.xml" Id="R8c0cd84de75c41fd" /><Relationship Type="http://schemas.openxmlformats.org/officeDocument/2006/relationships/worksheet" Target="/xl/worksheets/sheet3.xml" Id="R619ace25f8ca437e" /><Relationship Type="http://schemas.openxmlformats.org/officeDocument/2006/relationships/worksheet" Target="/xl/worksheets/sheet4.xml" Id="R35badd698b1544a1" /><Relationship Type="http://schemas.openxmlformats.org/officeDocument/2006/relationships/worksheet" Target="/xl/worksheets/sheet5.xml" Id="R16d92942b97c4ac2" /><Relationship Type="http://schemas.openxmlformats.org/officeDocument/2006/relationships/worksheet" Target="/xl/worksheets/sheet6.xml" Id="R0b478c48bf164e03" /><Relationship Type="http://schemas.openxmlformats.org/officeDocument/2006/relationships/worksheet" Target="/xl/worksheets/sheet7.xml" Id="R6034cf05154246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55019beef3400c" /><Relationship Type="http://schemas.openxmlformats.org/officeDocument/2006/relationships/chart" Target="/xl/drawings/charts/chart2.xml" Id="Rc0643a33cbae4c12" /><Relationship Type="http://schemas.openxmlformats.org/officeDocument/2006/relationships/chart" Target="/xl/drawings/charts/chart3.xml" Id="Rf737f0b771a04a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FY2031 Revenue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FY2031E</c:v>
          </c:tx>
          <c:cat>
            <c:strRef>
              <c:f>'Summary'!$H$5:$H$8</c:f>
              <c:strCache>
                <c:ptCount val="0"/>
              </c:strCache>
            </c:strRef>
          </c:cat>
          <c:val>
            <c:numRef>
              <c:f>'Summary'!$I$5:$I$8</c:f>
              <c:numCache>
                <c:formatCode>$#,##0.0;[Red]($#,##0.0);-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Scenario Value per Share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Value per share</c:v>
          </c:tx>
          <c:invertIfNegative val="0"/>
          <c:cat>
            <c:strRef>
              <c:f>'Summary'!$H$13:$H$15</c:f>
              <c:strCache>
                <c:ptCount val="0"/>
              </c:strCache>
            </c:strRef>
          </c:cat>
          <c:val>
            <c:numRef>
              <c:f>'Summary'!$I$13:$I$15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Playoff Home-Game Sensitivity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Value per share</c:v>
          </c:tx>
          <c:marker>
            <c:symbol val="none"/>
          </c:marker>
          <c:cat>
            <c:strRef>
              <c:f>'Summary'!$H$19:$H$24</c:f>
              <c:strCache>
                <c:ptCount val="0"/>
              </c:strCache>
            </c:strRef>
          </c:cat>
          <c:val>
            <c:numRef>
              <c:f>'Summary'!$I$19:$I$24</c:f>
              <c:numCache>
                <c:formatCode>$0.00;[Red]($0.00);-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5019beef3400c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643a33cbae4c1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37f0b771a04a8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474e27023f49d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8" max="8" width="25" hidden="0" customWidth="1"/>
    <x:col min="9" max="9" width="15" hidden="0" customWidth="1"/>
  </x:cols>
  <x:sheetData>
    <x:row r="1" ht="30" customHeight="1">
      <x:c r="A1" s="3" t="str">
        <x:v>MSG Knickerbockers Standalone 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Post-Rangers-spin DCF of the Knicks and Westchester Knicks | Valuation date: 2026-10-09 | Educational corporate-finance analysis, not an investment recommendation.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57"/>
      <x:c r="B3" s="157"/>
      <x:c r="C3" s="157"/>
      <x:c r="D3" s="157"/>
      <x:c r="E3" s="157"/>
      <x:c r="F3" s="157"/>
      <x:c r="G3" s="157"/>
      <x:c r="H3" s="157"/>
      <x:c r="I3" s="157"/>
      <x:c r="J3" s="157"/>
      <x:c r="K3" s="157"/>
      <x:c r="L3" s="157"/>
      <x:c r="M3" s="157"/>
      <x:c r="N3" s="157"/>
    </x:row>
    <x:row r="4" ht="20" customHeight="1">
      <x:c r="A4" s="14" t="str">
        <x:v>Selected-case valuation</x:v>
      </x:c>
      <x:c r="B4" s="14"/>
      <x:c r="C4" s="14"/>
      <x:c r="D4" s="14"/>
      <x:c r="E4" s="157"/>
      <x:c r="F4" s="157"/>
      <x:c r="G4" s="157"/>
      <x:c r="H4" s="19" t="str">
        <x:v>Revenue mix</x:v>
      </x:c>
      <x:c r="I4" s="19" t="str">
        <x:v>FY2031E</x:v>
      </x:c>
      <x:c r="J4" s="157"/>
      <x:c r="K4" s="157"/>
      <x:c r="L4" s="157"/>
      <x:c r="M4" s="157"/>
      <x:c r="N4" s="157"/>
    </x:row>
    <x:row r="5">
      <x:c r="A5" s="157" t="str">
        <x:v>Active case</x:v>
      </x:c>
      <x:c r="B5" s="158" t="str">
        <x:f>Assumptions!B4</x:f>
        <x:v>Base</x:v>
      </x:c>
      <x:c r="C5" s="157"/>
      <x:c r="D5" s="157"/>
      <x:c r="E5" s="157"/>
      <x:c r="F5" s="157"/>
      <x:c r="G5" s="157"/>
      <x:c r="H5" s="157" t="str">
        <x:v>Event-related</x:v>
      </x:c>
      <x:c r="I5" s="159" t="n">
        <x:f>'Operating Model'!I50</x:f>
        <x:v>317.1066710099477</x:v>
      </x:c>
      <x:c r="J5" s="157"/>
      <x:c r="K5" s="157"/>
      <x:c r="L5" s="157"/>
      <x:c r="M5" s="157"/>
      <x:c r="N5" s="157"/>
    </x:row>
    <x:row r="6">
      <x:c r="A6" s="160" t="str">
        <x:v>Enterprise value</x:v>
      </x:c>
      <x:c r="B6" s="161" t="n">
        <x:f>DCF!B26</x:f>
        <x:v>916.3873941339577</x:v>
      </x:c>
      <x:c r="C6" s="157"/>
      <x:c r="D6" s="157"/>
      <x:c r="E6" s="157"/>
      <x:c r="F6" s="157"/>
      <x:c r="G6" s="157"/>
      <x:c r="H6" s="157" t="str">
        <x:v>Media rights</x:v>
      </x:c>
      <x:c r="I6" s="159" t="n">
        <x:f>'Operating Model'!I51</x:f>
        <x:v>264.7664929395995</x:v>
      </x:c>
      <x:c r="J6" s="157"/>
      <x:c r="K6" s="157"/>
      <x:c r="L6" s="157"/>
      <x:c r="M6" s="157"/>
      <x:c r="N6" s="157"/>
    </x:row>
    <x:row r="7">
      <x:c r="A7" s="160" t="str">
        <x:v>Equity value</x:v>
      </x:c>
      <x:c r="B7" s="161" t="n">
        <x:f>DCF!B30</x:f>
        <x:v>838.7383941339577</x:v>
      </x:c>
      <x:c r="C7" s="157"/>
      <x:c r="D7" s="157"/>
      <x:c r="E7" s="157"/>
      <x:c r="F7" s="157"/>
      <x:c r="G7" s="157"/>
      <x:c r="H7" s="157" t="str">
        <x:v>Sponsorship / suites</x:v>
      </x:c>
      <x:c r="I7" s="159" t="n">
        <x:f>'Operating Model'!I52</x:f>
        <x:v>183.96194813718756</x:v>
      </x:c>
      <x:c r="J7" s="157"/>
      <x:c r="K7" s="157"/>
      <x:c r="L7" s="157"/>
      <x:c r="M7" s="157"/>
      <x:c r="N7" s="157"/>
    </x:row>
    <x:row r="8">
      <x:c r="A8" s="160" t="str">
        <x:v>Implied value per share</x:v>
      </x:c>
      <x:c r="B8" s="162" t="n">
        <x:f>DCF!B32</x:f>
        <x:v>34.64286457122621</x:v>
      </x:c>
      <x:c r="C8" s="157"/>
      <x:c r="D8" s="157"/>
      <x:c r="E8" s="157"/>
      <x:c r="F8" s="157"/>
      <x:c r="G8" s="157"/>
      <x:c r="H8" s="157" t="str">
        <x:v>League / other</x:v>
      </x:c>
      <x:c r="I8" s="159" t="n">
        <x:f>'Operating Model'!I53</x:f>
        <x:v>55.605740247873804</x:v>
      </x:c>
      <x:c r="J8" s="157"/>
      <x:c r="K8" s="157"/>
      <x:c r="L8" s="157"/>
      <x:c r="M8" s="157"/>
      <x:c r="N8" s="157"/>
    </x:row>
    <x:row r="9">
      <x:c r="A9" s="157" t="str">
        <x:v>FY2027E revenue</x:v>
      </x:c>
      <x:c r="B9" s="163" t="n">
        <x:f>'Operating Model'!E54</x:f>
        <x:v>722.361475</x:v>
      </x:c>
      <x:c r="C9" s="157"/>
      <x:c r="D9" s="157"/>
      <x:c r="E9" s="157"/>
      <x:c r="F9" s="157"/>
      <x:c r="G9" s="157"/>
      <x:c r="H9" s="157" t="str">
        <x:v>Total</x:v>
      </x:c>
      <x:c r="I9" s="159" t="n">
        <x:f>SUM(I5:I8)</x:f>
        <x:v>821.4408523346086</x:v>
      </x:c>
      <x:c r="J9" s="157"/>
      <x:c r="K9" s="157"/>
      <x:c r="L9" s="157"/>
      <x:c r="M9" s="157"/>
      <x:c r="N9" s="157"/>
    </x:row>
    <x:row r="10">
      <x:c r="A10" s="157" t="str">
        <x:v>FY2031E revenue</x:v>
      </x:c>
      <x:c r="B10" s="163" t="n">
        <x:f>'Operating Model'!I54</x:f>
        <x:v>821.4408523346086</x:v>
      </x:c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</x:row>
    <x:row r="11">
      <x:c r="A11" s="157" t="str">
        <x:v>FY2031E EBIT margin</x:v>
      </x:c>
      <x:c r="B11" s="164" t="n">
        <x:f>'Operating Model'!I61</x:f>
        <x:v>0.12127687360159896</x:v>
      </x:c>
      <x:c r="C11" s="157"/>
      <x:c r="D11" s="157"/>
      <x:c r="E11" s="157"/>
      <x:c r="F11" s="157"/>
      <x:c r="G11" s="157"/>
      <x:c r="H11" s="157"/>
      <x:c r="I11" s="157"/>
      <x:c r="J11" s="157"/>
      <x:c r="K11" s="157"/>
      <x:c r="L11" s="157"/>
      <x:c r="M11" s="157"/>
      <x:c r="N11" s="157"/>
    </x:row>
    <x:row r="12">
      <x:c r="A12" s="157" t="str">
        <x:v>FY2031E UFCF</x:v>
      </x:c>
      <x:c r="B12" s="163" t="n">
        <x:f>'Operating Model'!I68</x:f>
        <x:v>73.37342269435194</x:v>
      </x:c>
      <x:c r="C12" s="157"/>
      <x:c r="D12" s="157"/>
      <x:c r="E12" s="157"/>
      <x:c r="F12" s="157"/>
      <x:c r="G12" s="157"/>
      <x:c r="H12" s="19" t="str">
        <x:v>Case</x:v>
      </x:c>
      <x:c r="I12" s="19" t="str">
        <x:v>Value per share</x:v>
      </x:c>
      <x:c r="J12" s="157"/>
      <x:c r="K12" s="157"/>
      <x:c r="L12" s="157"/>
      <x:c r="M12" s="157"/>
      <x:c r="N12" s="157"/>
    </x:row>
    <x:row r="13">
      <x:c r="A13" s="157"/>
      <x:c r="B13" s="157"/>
      <x:c r="C13" s="157"/>
      <x:c r="D13" s="157"/>
      <x:c r="E13" s="157"/>
      <x:c r="F13" s="157"/>
      <x:c r="G13" s="157"/>
      <x:c r="H13" s="157" t="str">
        <x:v>Downside</x:v>
      </x:c>
      <x:c r="I13" s="165" t="n">
        <x:f>Sensitivity!F17</x:f>
        <x:v>2.568391357429889</x:v>
      </x:c>
      <x:c r="J13" s="157"/>
      <x:c r="K13" s="157"/>
      <x:c r="L13" s="157"/>
      <x:c r="M13" s="157"/>
      <x:c r="N13" s="157"/>
    </x:row>
    <x:row r="14">
      <x:c r="A14" s="157"/>
      <x:c r="B14" s="157"/>
      <x:c r="C14" s="157"/>
      <x:c r="D14" s="157"/>
      <x:c r="E14" s="157"/>
      <x:c r="F14" s="157"/>
      <x:c r="G14" s="157"/>
      <x:c r="H14" s="157" t="str">
        <x:v>Base</x:v>
      </x:c>
      <x:c r="I14" s="165" t="n">
        <x:f>Sensitivity!F18</x:f>
        <x:v>34.6428645712262</x:v>
      </x:c>
      <x:c r="J14" s="157"/>
      <x:c r="K14" s="157"/>
      <x:c r="L14" s="157"/>
      <x:c r="M14" s="157"/>
      <x:c r="N14" s="157"/>
    </x:row>
    <x:row r="15" ht="20" customHeight="1">
      <x:c r="A15" s="14" t="str">
        <x:v>Downside, base and upside</x:v>
      </x:c>
      <x:c r="B15" s="14"/>
      <x:c r="C15" s="14"/>
      <x:c r="D15" s="14"/>
      <x:c r="E15" s="14"/>
      <x:c r="F15" s="14"/>
      <x:c r="G15" s="157"/>
      <x:c r="H15" s="157" t="str">
        <x:v>Upside</x:v>
      </x:c>
      <x:c r="I15" s="165" t="n">
        <x:f>Sensitivity!F19</x:f>
        <x:v>128.4246457491787</x:v>
      </x:c>
      <x:c r="J15" s="157"/>
      <x:c r="K15" s="157"/>
      <x:c r="L15" s="157"/>
      <x:c r="M15" s="157"/>
      <x:c r="N15" s="157"/>
    </x:row>
    <x:row r="16">
      <x:c r="A16" s="19" t="str">
        <x:v>Case</x:v>
      </x:c>
      <x:c r="B16" s="19" t="str">
        <x:v>Enterprise value</x:v>
      </x:c>
      <x:c r="C16" s="19" t="str">
        <x:v>Equity value</x:v>
      </x:c>
      <x:c r="D16" s="19" t="str">
        <x:v>Value per share</x:v>
      </x:c>
      <x:c r="E16" s="157"/>
      <x:c r="F16" s="157"/>
      <x:c r="G16" s="157"/>
      <x:c r="H16" s="157"/>
      <x:c r="I16" s="157"/>
      <x:c r="J16" s="157"/>
      <x:c r="K16" s="157"/>
      <x:c r="L16" s="157"/>
      <x:c r="M16" s="157"/>
      <x:c r="N16" s="157"/>
    </x:row>
    <x:row r="17">
      <x:c r="A17" s="157" t="str">
        <x:v>Downside</x:v>
      </x:c>
      <x:c r="B17" s="159" t="n">
        <x:f>Sensitivity!D17</x:f>
        <x:v>139.83232315473504</x:v>
      </x:c>
      <x:c r="C17" s="159" t="n">
        <x:f>Sensitivity!E17</x:f>
        <x:v>62.183323154735035</x:v>
      </x:c>
      <x:c r="D17" s="165" t="n">
        <x:f>Sensitivity!F17</x:f>
        <x:v>2.568391357429889</x:v>
      </x:c>
      <x:c r="E17" s="157"/>
      <x:c r="F17" s="157"/>
      <x:c r="G17" s="157"/>
      <x:c r="H17" s="157"/>
      <x:c r="I17" s="157"/>
      <x:c r="J17" s="157"/>
      <x:c r="K17" s="157"/>
      <x:c r="L17" s="157"/>
      <x:c r="M17" s="157"/>
      <x:c r="N17" s="157"/>
    </x:row>
    <x:row r="18">
      <x:c r="A18" s="166" t="str">
        <x:v>Base</x:v>
      </x:c>
      <x:c r="B18" s="167" t="n">
        <x:f>Sensitivity!D18</x:f>
        <x:v>916.3873941339575</x:v>
      </x:c>
      <x:c r="C18" s="167" t="n">
        <x:f>Sensitivity!E18</x:f>
        <x:v>838.7383941339575</x:v>
      </x:c>
      <x:c r="D18" s="168" t="n">
        <x:f>Sensitivity!F18</x:f>
        <x:v>34.6428645712262</x:v>
      </x:c>
      <x:c r="E18" s="157"/>
      <x:c r="F18" s="157"/>
      <x:c r="G18" s="157"/>
      <x:c r="H18" s="19" t="str">
        <x:v>Playoff home games</x:v>
      </x:c>
      <x:c r="I18" s="19" t="str">
        <x:v>Value per share</x:v>
      </x:c>
      <x:c r="J18" s="157"/>
      <x:c r="K18" s="157"/>
      <x:c r="L18" s="157"/>
      <x:c r="M18" s="157"/>
      <x:c r="N18" s="157"/>
    </x:row>
    <x:row r="19">
      <x:c r="A19" s="157" t="str">
        <x:v>Upside</x:v>
      </x:c>
      <x:c r="B19" s="159" t="n">
        <x:f>Sensitivity!D19</x:f>
        <x:v>3186.938098233365</x:v>
      </x:c>
      <x:c r="C19" s="159" t="n">
        <x:f>Sensitivity!E19</x:f>
        <x:v>3109.289098233365</x:v>
      </x:c>
      <x:c r="D19" s="165" t="n">
        <x:f>Sensitivity!F19</x:f>
        <x:v>128.4246457491787</x:v>
      </x:c>
      <x:c r="E19" s="157"/>
      <x:c r="F19" s="157"/>
      <x:c r="G19" s="157"/>
      <x:c r="H19" s="157" t="n">
        <x:v>0</x:v>
      </x:c>
      <x:c r="I19" s="165" t="n">
        <x:f>Sensitivity!J6</x:f>
        <x:v>24.10238522783389</x:v>
      </x:c>
      <x:c r="J19" s="157"/>
      <x:c r="K19" s="157"/>
      <x:c r="L19" s="157"/>
      <x:c r="M19" s="157"/>
      <x:c r="N19" s="157"/>
    </x:row>
    <x:row r="20">
      <x:c r="A20" s="157"/>
      <x:c r="B20" s="157"/>
      <x:c r="C20" s="157"/>
      <x:c r="D20" s="157"/>
      <x:c r="E20" s="157"/>
      <x:c r="F20" s="157"/>
      <x:c r="G20" s="157"/>
      <x:c r="H20" s="157" t="n">
        <x:v>2</x:v>
      </x:c>
      <x:c r="I20" s="165" t="n">
        <x:f>Sensitivity!J7</x:f>
        <x:v>29.372624899530052</x:v>
      </x:c>
      <x:c r="J20" s="157"/>
      <x:c r="K20" s="157"/>
      <x:c r="L20" s="157"/>
      <x:c r="M20" s="157"/>
      <x:c r="N20" s="157"/>
    </x:row>
    <x:row r="21">
      <x:c r="A21" s="157"/>
      <x:c r="B21" s="157"/>
      <x:c r="C21" s="157"/>
      <x:c r="D21" s="157"/>
      <x:c r="E21" s="157"/>
      <x:c r="F21" s="157"/>
      <x:c r="G21" s="157"/>
      <x:c r="H21" s="157" t="n">
        <x:v>4</x:v>
      </x:c>
      <x:c r="I21" s="165" t="n">
        <x:f>Sensitivity!J8</x:f>
        <x:v>34.64286457122621</x:v>
      </x:c>
      <x:c r="J21" s="157"/>
      <x:c r="K21" s="157"/>
      <x:c r="L21" s="157"/>
      <x:c r="M21" s="157"/>
      <x:c r="N21" s="157"/>
    </x:row>
    <x:row r="22" ht="20" customHeight="1">
      <x:c r="A22" s="14" t="str">
        <x:v>Investment-banking style readout</x:v>
      </x:c>
      <x:c r="B22" s="14"/>
      <x:c r="C22" s="14"/>
      <x:c r="D22" s="14"/>
      <x:c r="E22" s="14"/>
      <x:c r="F22" s="14"/>
      <x:c r="G22" s="157"/>
      <x:c r="H22" s="157" t="n">
        <x:v>6</x:v>
      </x:c>
      <x:c r="I22" s="165" t="n">
        <x:f>Sensitivity!J9</x:f>
        <x:v>39.91310424292237</x:v>
      </x:c>
      <x:c r="J22" s="157"/>
      <x:c r="K22" s="157"/>
      <x:c r="L22" s="157"/>
      <x:c r="M22" s="157"/>
      <x:c r="N22" s="157"/>
    </x:row>
    <x:row r="23">
      <x:c r="A23" s="147" t="str">
        <x:v>Conclusion: The standalone Knicks cash-flow value is highly sensitive to playoff cadence and media-rights economics. The base case assumes four annual home playoff games and produces a normalized five-year forecast rather than capitalizing the FY2026 championship run. Key value drivers are premium event monetization, sponsorship and suite growth, and the national/local media-rights trajectory. Primary risks are a no-playoff season, local-rights renewal pressure, and team-cost inflation. The public-company multiple is a reasonableness check only because sports assets carry different scarcity, control and venue economics.</x:v>
      </x:c>
      <x:c r="B23" s="148"/>
      <x:c r="C23" s="148"/>
      <x:c r="D23" s="148"/>
      <x:c r="E23" s="148"/>
      <x:c r="F23" s="149"/>
      <x:c r="G23" s="157"/>
      <x:c r="H23" s="157" t="n">
        <x:v>8</x:v>
      </x:c>
      <x:c r="I23" s="165" t="n">
        <x:f>Sensitivity!J10</x:f>
        <x:v>45.183343914618526</x:v>
      </x:c>
      <x:c r="J23" s="157"/>
      <x:c r="K23" s="157"/>
      <x:c r="L23" s="157"/>
      <x:c r="M23" s="157"/>
      <x:c r="N23" s="157"/>
    </x:row>
    <x:row r="24">
      <x:c r="A24" s="150"/>
      <x:c r="B24" s="151"/>
      <x:c r="C24" s="151"/>
      <x:c r="D24" s="151"/>
      <x:c r="E24" s="151"/>
      <x:c r="F24" s="152"/>
      <x:c r="G24" s="157"/>
      <x:c r="H24" s="157" t="n">
        <x:v>10</x:v>
      </x:c>
      <x:c r="I24" s="165" t="n">
        <x:f>Sensitivity!J11</x:f>
        <x:v>50.453583586314686</x:v>
      </x:c>
      <x:c r="J24" s="157"/>
      <x:c r="K24" s="157"/>
      <x:c r="L24" s="157"/>
      <x:c r="M24" s="157"/>
      <x:c r="N24" s="157"/>
    </x:row>
    <x:row r="25">
      <x:c r="A25" s="150"/>
      <x:c r="B25" s="151"/>
      <x:c r="C25" s="151"/>
      <x:c r="D25" s="151"/>
      <x:c r="E25" s="151"/>
      <x:c r="F25" s="152"/>
      <x:c r="G25" s="157"/>
      <x:c r="H25" s="157"/>
      <x:c r="I25" s="157"/>
      <x:c r="J25" s="157"/>
      <x:c r="K25" s="157"/>
      <x:c r="L25" s="157"/>
      <x:c r="M25" s="157"/>
      <x:c r="N25" s="157"/>
    </x:row>
    <x:row r="26">
      <x:c r="A26" s="150"/>
      <x:c r="B26" s="151"/>
      <x:c r="C26" s="151"/>
      <x:c r="D26" s="151"/>
      <x:c r="E26" s="151"/>
      <x:c r="F26" s="152"/>
      <x:c r="G26" s="157"/>
      <x:c r="H26" s="157"/>
      <x:c r="I26" s="157"/>
      <x:c r="J26" s="157"/>
      <x:c r="K26" s="157"/>
      <x:c r="L26" s="157"/>
      <x:c r="M26" s="157"/>
      <x:c r="N26" s="157"/>
    </x:row>
    <x:row r="27">
      <x:c r="A27" s="150"/>
      <x:c r="B27" s="151"/>
      <x:c r="C27" s="151"/>
      <x:c r="D27" s="151"/>
      <x:c r="E27" s="151"/>
      <x:c r="F27" s="152"/>
      <x:c r="G27" s="157"/>
      <x:c r="H27" s="157"/>
      <x:c r="I27" s="157"/>
      <x:c r="J27" s="157"/>
      <x:c r="K27" s="157"/>
      <x:c r="L27" s="157"/>
      <x:c r="M27" s="157"/>
      <x:c r="N27" s="157"/>
    </x:row>
    <x:row r="28">
      <x:c r="A28" s="150"/>
      <x:c r="B28" s="151"/>
      <x:c r="C28" s="151"/>
      <x:c r="D28" s="151"/>
      <x:c r="E28" s="151"/>
      <x:c r="F28" s="152"/>
      <x:c r="G28" s="157"/>
      <x:c r="H28" s="157"/>
      <x:c r="I28" s="157"/>
      <x:c r="J28" s="157"/>
      <x:c r="K28" s="157"/>
      <x:c r="L28" s="157"/>
      <x:c r="M28" s="157"/>
      <x:c r="N28" s="157"/>
    </x:row>
    <x:row r="29">
      <x:c r="A29" s="153"/>
      <x:c r="B29" s="154"/>
      <x:c r="C29" s="154"/>
      <x:c r="D29" s="154"/>
      <x:c r="E29" s="154"/>
      <x:c r="F29" s="155"/>
      <x:c r="G29" s="157"/>
      <x:c r="H29" s="157"/>
      <x:c r="I29" s="157"/>
      <x:c r="J29" s="157"/>
      <x:c r="K29" s="157"/>
      <x:c r="L29" s="157"/>
      <x:c r="M29" s="157"/>
      <x:c r="N29" s="157"/>
    </x:row>
  </x:sheetData>
  <x:mergeCells>
    <x:mergeCell ref="A1:N1"/>
    <x:mergeCell ref="A2:N2"/>
    <x:mergeCell ref="A4:D4"/>
    <x:mergeCell ref="A15:F15"/>
    <x:mergeCell ref="A22:F22"/>
    <x:mergeCell ref="A23:F29"/>
  </x:mergeCells>
  <x:pageMargins left="0.7" right="0.7" top="0.75" bottom="0.75" header="0.3" footer="0.3"/>
  <x:drawing xmlns:r="http://schemas.openxmlformats.org/officeDocument/2006/relationships" r:id="R4a474e27023f49d6"/>
</x:worksheet>
</file>

<file path=xl/worksheets/sheet2.xml><?xml version="1.0" encoding="utf-8"?>
<x:worksheet xmlns:x="http://schemas.openxmlformats.org/spreadsheetml/2006/main">
  <x:sheetPr>
    <x:tabColor rgb="FFD9A30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14" hidden="0" customWidth="1"/>
    <x:col min="5" max="5" width="23" hidden="0" customWidth="1"/>
    <x:col min="6" max="6" width="14" hidden="0" customWidth="1"/>
  </x:cols>
  <x:sheetData>
    <x:row r="1" ht="30" customHeight="1">
      <x:c r="A1" s="3" t="str">
        <x:v>MSG Knickerbockers Standalone DCF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Centralized case assumptions. Blue font denotes hardcoded inputs; green font denotes cross-sheet links elsewhere.</x:v>
      </x:c>
      <x:c r="B2" s="7"/>
      <x:c r="C2" s="7"/>
      <x:c r="D2" s="7"/>
      <x:c r="E2" s="7"/>
      <x:c r="F2" s="7"/>
      <x:c r="G2" s="7"/>
      <x:c r="H2" s="7"/>
    </x:row>
    <x:row r="3">
      <x:c r="A3" s="157"/>
      <x:c r="B3" s="157"/>
      <x:c r="C3" s="157"/>
      <x:c r="D3" s="157"/>
      <x:c r="E3" s="157"/>
      <x:c r="F3" s="157"/>
      <x:c r="G3" s="157"/>
      <x:c r="H3" s="157"/>
    </x:row>
    <x:row r="4">
      <x:c r="A4" s="169" t="str">
        <x:v>Active case</x:v>
      </x:c>
      <x:c r="B4" s="170" t="str">
        <x:v>Base</x:v>
      </x:c>
      <x:c r="C4" s="157"/>
      <x:c r="D4" s="157"/>
      <x:c r="E4" s="157"/>
      <x:c r="F4" s="157"/>
      <x:c r="G4" s="157"/>
      <x:c r="H4" s="157"/>
    </x:row>
    <x:row r="5">
      <x:c r="A5" s="157"/>
      <x:c r="B5" s="157"/>
      <x:c r="C5" s="157"/>
      <x:c r="D5" s="157"/>
      <x:c r="E5" s="157"/>
      <x:c r="F5" s="157"/>
      <x:c r="G5" s="157"/>
      <x:c r="H5" s="157"/>
    </x:row>
    <x:row r="6" ht="20" customHeight="1">
      <x:c r="A6" s="14" t="str">
        <x:v>Operating and valuation cases</x:v>
      </x:c>
      <x:c r="B6" s="14"/>
      <x:c r="C6" s="14"/>
      <x:c r="D6" s="14"/>
      <x:c r="E6" s="14"/>
      <x:c r="F6" s="14"/>
      <x:c r="G6" s="157"/>
      <x:c r="H6" s="157"/>
    </x:row>
    <x:row r="7">
      <x:c r="A7" s="19" t="str">
        <x:v>Driver</x:v>
      </x:c>
      <x:c r="B7" s="19" t="str">
        <x:v>Downside</x:v>
      </x:c>
      <x:c r="C7" s="19" t="str">
        <x:v>Base</x:v>
      </x:c>
      <x:c r="D7" s="19" t="str">
        <x:v>Upside</x:v>
      </x:c>
      <x:c r="E7" s="19" t="str">
        <x:v>Units / note</x:v>
      </x:c>
      <x:c r="F7" s="19" t="str">
        <x:v>Selected</x:v>
      </x:c>
      <x:c r="G7" s="157"/>
      <x:c r="H7" s="157"/>
    </x:row>
    <x:row r="8">
      <x:c r="A8" s="157" t="str">
        <x:v>Regular-season ticket + in-arena growth</x:v>
      </x:c>
      <x:c r="B8" s="171" t="n">
        <x:v>0.01</x:v>
      </x:c>
      <x:c r="C8" s="171" t="n">
        <x:v>0.03</x:v>
      </x:c>
      <x:c r="D8" s="171" t="n">
        <x:v>0.05</x:v>
      </x:c>
      <x:c r="E8" s="157" t="str">
        <x:v>% per year</x:v>
      </x:c>
      <x:c r="F8" s="172" t="n">
        <x:f>CHOOSE(MATCH($B$4,$B$7:$D$7,0),B8,C8,D8)</x:f>
        <x:v>0.03</x:v>
      </x:c>
      <x:c r="G8" s="157"/>
      <x:c r="H8" s="157"/>
    </x:row>
    <x:row r="9">
      <x:c r="A9" s="157" t="str">
        <x:v>Playoff home games</x:v>
      </x:c>
      <x:c r="B9" s="173" t="n">
        <x:v>0</x:v>
      </x:c>
      <x:c r="C9" s="173" t="n">
        <x:v>4</x:v>
      </x:c>
      <x:c r="D9" s="173" t="n">
        <x:v>8</x:v>
      </x:c>
      <x:c r="E9" s="157" t="str">
        <x:v>games per year</x:v>
      </x:c>
      <x:c r="F9" s="174" t="n">
        <x:f>CHOOSE(MATCH($B$4,$B$7:$D$7,0),B9,C9,D9)</x:f>
        <x:v>4</x:v>
      </x:c>
      <x:c r="G9" s="157"/>
      <x:c r="H9" s="157"/>
    </x:row>
    <x:row r="10">
      <x:c r="A10" s="157" t="str">
        <x:v>Playoff event revenue per home game</x:v>
      </x:c>
      <x:c r="B10" s="173" t="n">
        <x:v>8</x:v>
      </x:c>
      <x:c r="C10" s="173" t="n">
        <x:v>10</x:v>
      </x:c>
      <x:c r="D10" s="173" t="n">
        <x:v>12</x:v>
      </x:c>
      <x:c r="E10" s="157" t="str">
        <x:v>$mm in FY2027</x:v>
      </x:c>
      <x:c r="F10" s="174" t="n">
        <x:f>CHOOSE(MATCH($B$4,$B$7:$D$7,0),B10,C10,D10)</x:f>
        <x:v>10</x:v>
      </x:c>
      <x:c r="G10" s="157"/>
      <x:c r="H10" s="157"/>
    </x:row>
    <x:row r="11">
      <x:c r="A11" s="157" t="str">
        <x:v>Media-rights annual growth</x:v>
      </x:c>
      <x:c r="B11" s="171" t="n">
        <x:v>0.01</x:v>
      </x:c>
      <x:c r="C11" s="171" t="n">
        <x:v>0.025</x:v>
      </x:c>
      <x:c r="D11" s="171" t="n">
        <x:v>0.05</x:v>
      </x:c>
      <x:c r="E11" s="157" t="str">
        <x:v>% per year</x:v>
      </x:c>
      <x:c r="F11" s="172" t="n">
        <x:f>CHOOSE(MATCH($B$4,$B$7:$D$7,0),B11,C11,D11)</x:f>
        <x:v>0.025</x:v>
      </x:c>
      <x:c r="G11" s="157"/>
      <x:c r="H11" s="157"/>
    </x:row>
    <x:row r="12">
      <x:c r="A12" s="157" t="str">
        <x:v>Local media renewal step in FY2030</x:v>
      </x:c>
      <x:c r="B12" s="171" t="n">
        <x:v>-0.1</x:v>
      </x:c>
      <x:c r="C12" s="171" t="n">
        <x:v>0</x:v>
      </x:c>
      <x:c r="D12" s="171" t="n">
        <x:v>0.1</x:v>
      </x:c>
      <x:c r="E12" s="157" t="str">
        <x:v>% one-time step</x:v>
      </x:c>
      <x:c r="F12" s="172" t="n">
        <x:f>CHOOSE(MATCH($B$4,$B$7:$D$7,0),B12,C12,D12)</x:f>
        <x:v>0</x:v>
      </x:c>
      <x:c r="G12" s="157"/>
      <x:c r="H12" s="157"/>
    </x:row>
    <x:row r="13">
      <x:c r="A13" s="157" t="str">
        <x:v>Sponsorship, signage and suite growth</x:v>
      </x:c>
      <x:c r="B13" s="171" t="n">
        <x:v>0.03</x:v>
      </x:c>
      <x:c r="C13" s="171" t="n">
        <x:v>0.05</x:v>
      </x:c>
      <x:c r="D13" s="171" t="n">
        <x:v>0.08</x:v>
      </x:c>
      <x:c r="E13" s="157" t="str">
        <x:v>% per year</x:v>
      </x:c>
      <x:c r="F13" s="172" t="n">
        <x:f>CHOOSE(MATCH($B$4,$B$7:$D$7,0),B13,C13,D13)</x:f>
        <x:v>0.05</x:v>
      </x:c>
      <x:c r="G13" s="157"/>
      <x:c r="H13" s="157"/>
    </x:row>
    <x:row r="14">
      <x:c r="A14" s="157" t="str">
        <x:v>League distributions growth</x:v>
      </x:c>
      <x:c r="B14" s="171" t="n">
        <x:v>0.01</x:v>
      </x:c>
      <x:c r="C14" s="171" t="n">
        <x:v>0.03</x:v>
      </x:c>
      <x:c r="D14" s="171" t="n">
        <x:v>0.06</x:v>
      </x:c>
      <x:c r="E14" s="157" t="str">
        <x:v>% per year</x:v>
      </x:c>
      <x:c r="F14" s="172" t="n">
        <x:f>CHOOSE(MATCH($B$4,$B$7:$D$7,0),B14,C14,D14)</x:f>
        <x:v>0.03</x:v>
      </x:c>
      <x:c r="G14" s="157"/>
      <x:c r="H14" s="157"/>
    </x:row>
    <x:row r="15">
      <x:c r="A15" s="157" t="str">
        <x:v>Non-playoff direct cost growth</x:v>
      </x:c>
      <x:c r="B15" s="171" t="n">
        <x:v>0</x:v>
      </x:c>
      <x:c r="C15" s="171" t="n">
        <x:v>0.01</x:v>
      </x:c>
      <x:c r="D15" s="171" t="n">
        <x:v>0.005</x:v>
      </x:c>
      <x:c r="E15" s="157" t="str">
        <x:v>% per year</x:v>
      </x:c>
      <x:c r="F15" s="172" t="n">
        <x:f>CHOOSE(MATCH($B$4,$B$7:$D$7,0),B15,C15,D15)</x:f>
        <x:v>0.01</x:v>
      </x:c>
      <x:c r="G15" s="157"/>
      <x:c r="H15" s="157"/>
    </x:row>
    <x:row r="16">
      <x:c r="A16" s="157" t="str">
        <x:v>Playoff expense per home game</x:v>
      </x:c>
      <x:c r="B16" s="173" t="n">
        <x:v>6</x:v>
      </x:c>
      <x:c r="C16" s="173" t="n">
        <x:v>5</x:v>
      </x:c>
      <x:c r="D16" s="173" t="n">
        <x:v>4.5</x:v>
      </x:c>
      <x:c r="E16" s="157" t="str">
        <x:v>$mm in FY2027</x:v>
      </x:c>
      <x:c r="F16" s="174" t="n">
        <x:f>CHOOSE(MATCH($B$4,$B$7:$D$7,0),B16,C16,D16)</x:f>
        <x:v>5</x:v>
      </x:c>
      <x:c r="G16" s="157"/>
      <x:c r="H16" s="157"/>
    </x:row>
    <x:row r="17">
      <x:c r="A17" s="157" t="str">
        <x:v>SG&amp;A growth</x:v>
      </x:c>
      <x:c r="B17" s="171" t="n">
        <x:v>0.005</x:v>
      </x:c>
      <x:c r="C17" s="171" t="n">
        <x:v>0.015</x:v>
      </x:c>
      <x:c r="D17" s="171" t="n">
        <x:v>0.02</x:v>
      </x:c>
      <x:c r="E17" s="157" t="str">
        <x:v>% per year</x:v>
      </x:c>
      <x:c r="F17" s="172" t="n">
        <x:f>CHOOSE(MATCH($B$4,$B$7:$D$7,0),B17,C17,D17)</x:f>
        <x:v>0.015</x:v>
      </x:c>
      <x:c r="G17" s="157"/>
      <x:c r="H17" s="157"/>
    </x:row>
    <x:row r="18">
      <x:c r="A18" s="157" t="str">
        <x:v>D&amp;A as % of revenue</x:v>
      </x:c>
      <x:c r="B18" s="171" t="n">
        <x:v>0.0015</x:v>
      </x:c>
      <x:c r="C18" s="171" t="n">
        <x:v>0.0015</x:v>
      </x:c>
      <x:c r="D18" s="171" t="n">
        <x:v>0.0015</x:v>
      </x:c>
      <x:c r="E18" s="157" t="str">
        <x:v>% of revenue</x:v>
      </x:c>
      <x:c r="F18" s="172" t="n">
        <x:f>CHOOSE(MATCH($B$4,$B$7:$D$7,0),B18,C18,D18)</x:f>
        <x:v>0.0015</x:v>
      </x:c>
      <x:c r="G18" s="157"/>
      <x:c r="H18" s="157"/>
    </x:row>
    <x:row r="19">
      <x:c r="A19" s="157" t="str">
        <x:v>Capital spending as % of revenue</x:v>
      </x:c>
      <x:c r="B19" s="171" t="n">
        <x:v>0.0025</x:v>
      </x:c>
      <x:c r="C19" s="171" t="n">
        <x:v>0.0025</x:v>
      </x:c>
      <x:c r="D19" s="171" t="n">
        <x:v>0.0025</x:v>
      </x:c>
      <x:c r="E19" s="157" t="str">
        <x:v>% of revenue</x:v>
      </x:c>
      <x:c r="F19" s="172" t="n">
        <x:f>CHOOSE(MATCH($B$4,$B$7:$D$7,0),B19,C19,D19)</x:f>
        <x:v>0.0025</x:v>
      </x:c>
      <x:c r="G19" s="157"/>
      <x:c r="H19" s="157"/>
    </x:row>
    <x:row r="20">
      <x:c r="A20" s="157" t="str">
        <x:v>Change in NWC as % of revenue change</x:v>
      </x:c>
      <x:c r="B20" s="171" t="n">
        <x:v>0.02</x:v>
      </x:c>
      <x:c r="C20" s="171" t="n">
        <x:v>0.02</x:v>
      </x:c>
      <x:c r="D20" s="171" t="n">
        <x:v>0.02</x:v>
      </x:c>
      <x:c r="E20" s="157" t="str">
        <x:v>% of revenue change</x:v>
      </x:c>
      <x:c r="F20" s="172" t="n">
        <x:f>CHOOSE(MATCH($B$4,$B$7:$D$7,0),B20,C20,D20)</x:f>
        <x:v>0.02</x:v>
      </x:c>
      <x:c r="G20" s="157"/>
      <x:c r="H20" s="157"/>
    </x:row>
    <x:row r="21">
      <x:c r="A21" s="157" t="str">
        <x:v>Cash tax rate</x:v>
      </x:c>
      <x:c r="B21" s="171" t="n">
        <x:v>0.25</x:v>
      </x:c>
      <x:c r="C21" s="171" t="n">
        <x:v>0.25</x:v>
      </x:c>
      <x:c r="D21" s="171" t="n">
        <x:v>0.25</x:v>
      </x:c>
      <x:c r="E21" s="157" t="str">
        <x:v>% of positive EBIT</x:v>
      </x:c>
      <x:c r="F21" s="172" t="n">
        <x:f>CHOOSE(MATCH($B$4,$B$7:$D$7,0),B21,C21,D21)</x:f>
        <x:v>0.25</x:v>
      </x:c>
      <x:c r="G21" s="157"/>
      <x:c r="H21" s="157"/>
    </x:row>
    <x:row r="22">
      <x:c r="A22" s="157" t="str">
        <x:v>WACC spread vs. base</x:v>
      </x:c>
      <x:c r="B22" s="171" t="n">
        <x:v>0.0075</x:v>
      </x:c>
      <x:c r="C22" s="171" t="n">
        <x:v>0</x:v>
      </x:c>
      <x:c r="D22" s="171" t="n">
        <x:v>-0.005</x:v>
      </x:c>
      <x:c r="E22" s="157" t="str">
        <x:v>percentage points</x:v>
      </x:c>
      <x:c r="F22" s="172" t="n">
        <x:f>CHOOSE(MATCH($B$4,$B$7:$D$7,0),B22,C22,D22)</x:f>
        <x:v>0</x:v>
      </x:c>
      <x:c r="G22" s="157"/>
      <x:c r="H22" s="157"/>
    </x:row>
    <x:row r="23">
      <x:c r="A23" s="157" t="str">
        <x:v>Terminal growth</x:v>
      </x:c>
      <x:c r="B23" s="171" t="n">
        <x:v>0.02</x:v>
      </x:c>
      <x:c r="C23" s="171" t="n">
        <x:v>0.025</x:v>
      </x:c>
      <x:c r="D23" s="171" t="n">
        <x:v>0.03</x:v>
      </x:c>
      <x:c r="E23" s="157" t="str">
        <x:v>% per year</x:v>
      </x:c>
      <x:c r="F23" s="172" t="n">
        <x:f>CHOOSE(MATCH($B$4,$B$7:$D$7,0),B23,C23,D23)</x:f>
        <x:v>0.025</x:v>
      </x:c>
      <x:c r="G23" s="157"/>
      <x:c r="H23" s="157"/>
    </x:row>
    <x:row r="24">
      <x:c r="A24" s="157"/>
      <x:c r="B24" s="157"/>
      <x:c r="C24" s="157"/>
      <x:c r="D24" s="157"/>
      <x:c r="E24" s="157"/>
      <x:c r="F24" s="157"/>
      <x:c r="G24" s="157"/>
      <x:c r="H24" s="157"/>
    </x:row>
    <x:row r="25">
      <x:c r="A25" s="157"/>
      <x:c r="B25" s="157"/>
      <x:c r="C25" s="157"/>
      <x:c r="D25" s="157"/>
      <x:c r="E25" s="157"/>
      <x:c r="F25" s="157"/>
      <x:c r="G25" s="157"/>
      <x:c r="H25" s="157"/>
    </x:row>
    <x:row r="26" ht="20" customHeight="1">
      <x:c r="A26" s="14" t="str">
        <x:v>WACC build and normalization inputs</x:v>
      </x:c>
      <x:c r="B26" s="14"/>
      <x:c r="C26" s="14"/>
      <x:c r="D26" s="14"/>
      <x:c r="E26" s="14"/>
      <x:c r="F26" s="14"/>
      <x:c r="G26" s="157"/>
      <x:c r="H26" s="157"/>
    </x:row>
    <x:row r="27">
      <x:c r="A27" s="19" t="str">
        <x:v>Input</x:v>
      </x:c>
      <x:c r="B27" s="19" t="str">
        <x:v>Value</x:v>
      </x:c>
      <x:c r="C27" s="19" t="str">
        <x:v>Source / calculation</x:v>
      </x:c>
      <x:c r="D27" s="157"/>
      <x:c r="E27" s="157"/>
      <x:c r="F27" s="157"/>
      <x:c r="G27" s="157"/>
      <x:c r="H27" s="157"/>
    </x:row>
    <x:row r="28">
      <x:c r="A28" s="157" t="str">
        <x:v>Risk-free rate</x:v>
      </x:c>
      <x:c r="B28" s="171" t="n">
        <x:v>0.0524</x:v>
      </x:c>
      <x:c r="C28" s="157" t="str">
        <x:v>U.S. Treasury 10-year yield, 2026-10-09</x:v>
      </x:c>
      <x:c r="D28" s="157"/>
      <x:c r="E28" s="157"/>
      <x:c r="F28" s="157"/>
      <x:c r="G28" s="157"/>
      <x:c r="H28" s="157"/>
    </x:row>
    <x:row r="29">
      <x:c r="A29" s="157" t="str">
        <x:v>Implied equity risk premium</x:v>
      </x:c>
      <x:c r="B29" s="171" t="n">
        <x:v>0.0414</x:v>
      </x:c>
      <x:c r="C29" s="157" t="str">
        <x:v>Damodaran, 2026-09-01</x:v>
      </x:c>
      <x:c r="D29" s="157"/>
      <x:c r="E29" s="157"/>
      <x:c r="F29" s="157"/>
      <x:c r="G29" s="157"/>
      <x:c r="H29" s="157"/>
    </x:row>
    <x:row r="30">
      <x:c r="A30" s="157" t="str">
        <x:v>Selected beta</x:v>
      </x:c>
      <x:c r="B30" s="175" t="n">
        <x:v>1</x:v>
      </x:c>
      <x:c r="C30" s="157" t="str">
        <x:v>Peer-informed, adjusted for single-team and spin risk</x:v>
      </x:c>
      <x:c r="D30" s="157"/>
      <x:c r="E30" s="157"/>
      <x:c r="F30" s="157"/>
      <x:c r="G30" s="157"/>
      <x:c r="H30" s="157"/>
    </x:row>
    <x:row r="31">
      <x:c r="A31" s="157" t="str">
        <x:v>Cost of equity</x:v>
      </x:c>
      <x:c r="B31" s="176" t="n">
        <x:f>B28+B30*B29</x:f>
        <x:v>0.0938</x:v>
      </x:c>
      <x:c r="C31" s="157" t="str">
        <x:v>Risk-free rate + beta × ERP</x:v>
      </x:c>
      <x:c r="D31" s="157"/>
      <x:c r="E31" s="157"/>
      <x:c r="F31" s="157"/>
      <x:c r="G31" s="157"/>
      <x:c r="H31" s="157"/>
    </x:row>
    <x:row r="32">
      <x:c r="A32" s="157" t="str">
        <x:v>Pre-tax cost of debt</x:v>
      </x:c>
      <x:c r="B32" s="171" t="n">
        <x:v>0.0499</x:v>
      </x:c>
      <x:c r="C32" s="157" t="str">
        <x:v>Knicks credit facility borrowing cost</x:v>
      </x:c>
      <x:c r="D32" s="157"/>
      <x:c r="E32" s="157"/>
      <x:c r="F32" s="157"/>
      <x:c r="G32" s="157"/>
      <x:c r="H32" s="157"/>
    </x:row>
    <x:row r="33">
      <x:c r="A33" s="157" t="str">
        <x:v>Cash tax rate</x:v>
      </x:c>
      <x:c r="B33" s="176" t="n">
        <x:f>F21</x:f>
        <x:v>0.25</x:v>
      </x:c>
      <x:c r="C33" s="157" t="str">
        <x:v>Selected case tax rate</x:v>
      </x:c>
      <x:c r="D33" s="157"/>
      <x:c r="E33" s="157"/>
      <x:c r="F33" s="157"/>
      <x:c r="G33" s="157"/>
      <x:c r="H33" s="157"/>
    </x:row>
    <x:row r="34">
      <x:c r="A34" s="157" t="str">
        <x:v>Target debt weight</x:v>
      </x:c>
      <x:c r="B34" s="171" t="n">
        <x:v>0.05</x:v>
      </x:c>
      <x:c r="C34" s="157" t="str">
        <x:v>Capital structure assumption</x:v>
      </x:c>
      <x:c r="D34" s="157"/>
      <x:c r="E34" s="157"/>
      <x:c r="F34" s="157"/>
      <x:c r="G34" s="157"/>
      <x:c r="H34" s="157"/>
    </x:row>
    <x:row r="35">
      <x:c r="A35" s="157" t="str">
        <x:v>Target equity weight</x:v>
      </x:c>
      <x:c r="B35" s="176" t="n">
        <x:f>1-B34</x:f>
        <x:v>0.95</x:v>
      </x:c>
      <x:c r="C35" s="157" t="str">
        <x:v>1 - debt weight</x:v>
      </x:c>
      <x:c r="D35" s="157"/>
      <x:c r="E35" s="157"/>
      <x:c r="F35" s="157"/>
      <x:c r="G35" s="157"/>
      <x:c r="H35" s="157"/>
    </x:row>
    <x:row r="36">
      <x:c r="A36" s="157" t="str">
        <x:v>Base WACC</x:v>
      </x:c>
      <x:c r="B36" s="176" t="n">
        <x:f>B35*B31+B34*B32*(1-B33)</x:f>
        <x:v>0.09098125</x:v>
      </x:c>
      <x:c r="C36" s="157" t="str">
        <x:v>Formula-derived</x:v>
      </x:c>
      <x:c r="D36" s="157"/>
      <x:c r="E36" s="157"/>
      <x:c r="F36" s="157"/>
      <x:c r="G36" s="157"/>
      <x:c r="H36" s="157"/>
    </x:row>
    <x:row r="37">
      <x:c r="A37" s="157" t="str">
        <x:v>Selected WACC</x:v>
      </x:c>
      <x:c r="B37" s="176" t="n">
        <x:f>B36+F22</x:f>
        <x:v>0.09098125</x:v>
      </x:c>
      <x:c r="C37" s="157" t="str">
        <x:v>Base WACC + selected case spread</x:v>
      </x:c>
      <x:c r="D37" s="157"/>
      <x:c r="E37" s="157"/>
      <x:c r="F37" s="157"/>
      <x:c r="G37" s="157"/>
      <x:c r="H37" s="157"/>
    </x:row>
    <x:row r="38">
      <x:c r="A38" s="157" t="str">
        <x:v>FY2026 Knicks home playoff games</x:v>
      </x:c>
      <x:c r="B38" s="177" t="n">
        <x:v>9</x:v>
      </x:c>
      <x:c r="C38" s="157" t="str">
        <x:v>MSG Sports 2026 Form 10-K</x:v>
      </x:c>
      <x:c r="D38" s="157"/>
      <x:c r="E38" s="157"/>
      <x:c r="F38" s="157"/>
      <x:c r="G38" s="157"/>
      <x:c r="H38" s="157"/>
    </x:row>
    <x:row r="39">
      <x:c r="A39" s="157" t="str">
        <x:v>FY2026 championship revenue premium</x:v>
      </x:c>
      <x:c r="B39" s="178" t="n">
        <x:v>66.893</x:v>
      </x:c>
      <x:c r="C39" s="157" t="str">
        <x:v>Disclosed consolidated playoff-related increase</x:v>
      </x:c>
      <x:c r="D39" s="157"/>
      <x:c r="E39" s="157"/>
      <x:c r="F39" s="157"/>
      <x:c r="G39" s="157"/>
      <x:c r="H39" s="157"/>
    </x:row>
    <x:row r="40">
      <x:c r="A40" s="157" t="str">
        <x:v>FY2026 championship expense premium</x:v>
      </x:c>
      <x:c r="B40" s="178" t="n">
        <x:v>49.532</x:v>
      </x:c>
      <x:c r="C40" s="157" t="str">
        <x:v>Disclosed consolidated playoff-related increase</x:v>
      </x:c>
      <x:c r="D40" s="157"/>
      <x:c r="E40" s="157"/>
      <x:c r="F40" s="157"/>
      <x:c r="G40" s="157"/>
      <x:c r="H40" s="157"/>
    </x:row>
    <x:row r="41">
      <x:c r="A41" s="157" t="str">
        <x:v>Base playoff revenue per game</x:v>
      </x:c>
      <x:c r="B41" s="159" t="n">
        <x:f>C10</x:f>
        <x:v>10</x:v>
      </x:c>
      <x:c r="C41" s="157" t="str">
        <x:v>Base case assumption</x:v>
      </x:c>
      <x:c r="D41" s="157"/>
      <x:c r="E41" s="157"/>
      <x:c r="F41" s="157"/>
      <x:c r="G41" s="157"/>
      <x:c r="H41" s="157"/>
    </x:row>
    <x:row r="42">
      <x:c r="A42" s="157" t="str">
        <x:v>Base playoff expense per game</x:v>
      </x:c>
      <x:c r="B42" s="159" t="n">
        <x:f>C16</x:f>
        <x:v>5</x:v>
      </x:c>
      <x:c r="C42" s="157" t="str">
        <x:v>Base case assumption</x:v>
      </x:c>
      <x:c r="D42" s="157"/>
      <x:c r="E42" s="157"/>
      <x:c r="F42" s="157"/>
      <x:c r="G42" s="157"/>
      <x:c r="H42" s="157"/>
    </x:row>
    <x:row r="43">
      <x:c r="A43" s="157"/>
      <x:c r="B43" s="157"/>
      <x:c r="C43" s="157"/>
      <x:c r="D43" s="157"/>
      <x:c r="E43" s="157"/>
      <x:c r="F43" s="157"/>
      <x:c r="G43" s="157"/>
      <x:c r="H43" s="157"/>
    </x:row>
    <x:row r="44">
      <x:c r="A44" s="51" t="str">
        <x:v>Model scope: MSG Knickerbockers Corp. (New York Knicks and Westchester Knicks), valued as of 2026-10-09. FY2024-FY2026 are historical. FY2027-FY2031 are forecasts. The FY2026 championship run is normalized using separately disclosed playoff-related revenue and expense increases plus base per-game assumptions.</x:v>
      </x:c>
      <x:c r="B44" s="52"/>
      <x:c r="C44" s="52"/>
      <x:c r="D44" s="52"/>
      <x:c r="E44" s="52"/>
      <x:c r="F44" s="53"/>
      <x:c r="G44" s="157"/>
      <x:c r="H44" s="157"/>
    </x:row>
    <x:row r="45">
      <x:c r="A45" s="54"/>
      <x:c r="B45" s="55"/>
      <x:c r="C45" s="55"/>
      <x:c r="D45" s="55"/>
      <x:c r="E45" s="55"/>
      <x:c r="F45" s="56"/>
      <x:c r="G45" s="157"/>
      <x:c r="H45" s="157"/>
    </x:row>
    <x:row r="46">
      <x:c r="A46" s="57"/>
      <x:c r="B46" s="58"/>
      <x:c r="C46" s="58"/>
      <x:c r="D46" s="58"/>
      <x:c r="E46" s="58"/>
      <x:c r="F46" s="59"/>
      <x:c r="G46" s="157"/>
      <x:c r="H46" s="157"/>
    </x:row>
    <x:row r="47">
      <x:c r="A47" s="157"/>
      <x:c r="B47" s="157"/>
      <x:c r="C47" s="157"/>
      <x:c r="D47" s="157"/>
      <x:c r="E47" s="157"/>
      <x:c r="F47" s="157"/>
      <x:c r="G47" s="157"/>
      <x:c r="H47" s="157"/>
    </x:row>
    <x:row r="48">
      <x:c r="A48" s="157"/>
      <x:c r="B48" s="157"/>
      <x:c r="C48" s="157"/>
      <x:c r="D48" s="157"/>
      <x:c r="E48" s="157"/>
      <x:c r="F48" s="157"/>
      <x:c r="G48" s="157"/>
      <x:c r="H48" s="157"/>
    </x:row>
    <x:row r="49">
      <x:c r="A49" s="157"/>
      <x:c r="B49" s="157"/>
      <x:c r="C49" s="157"/>
      <x:c r="D49" s="157"/>
      <x:c r="E49" s="157"/>
      <x:c r="F49" s="157"/>
      <x:c r="G49" s="157"/>
      <x:c r="H49" s="157"/>
    </x:row>
    <x:row r="50">
      <x:c r="A50" s="157"/>
      <x:c r="B50" s="157"/>
      <x:c r="C50" s="157"/>
      <x:c r="D50" s="157"/>
      <x:c r="E50" s="157"/>
      <x:c r="F50" s="157"/>
      <x:c r="G50" s="157"/>
      <x:c r="H50" s="157"/>
    </x:row>
  </x:sheetData>
  <x:mergeCells>
    <x:mergeCell ref="A1:H1"/>
    <x:mergeCell ref="A2:H2"/>
    <x:mergeCell ref="A6:F6"/>
    <x:mergeCell ref="A26:F26"/>
    <x:mergeCell ref="A44:F46"/>
  </x:mergeCells>
  <x:dataValidations count="1">
    <x:dataValidation type="list" sqref="B4">
      <x:formula1>"Downside,Base,Upside"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0" customHeight="1">
      <x:c r="A1" s="3" t="str">
        <x:v>Operating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Historical MSG Sports less Rangers equals standalone Knicks residual. Forecast uses the active case from Assumptions.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57"/>
      <x:c r="B3" s="157"/>
      <x:c r="C3" s="157"/>
      <x:c r="D3" s="157"/>
      <x:c r="E3" s="157"/>
      <x:c r="F3" s="157"/>
      <x:c r="G3" s="157"/>
      <x:c r="H3" s="157"/>
      <x:c r="I3" s="157"/>
      <x:c r="J3" s="157"/>
    </x:row>
    <x:row r="4" ht="20" customHeight="1">
      <x:c r="A4" s="14" t="str">
        <x:v>Reported MSG Sports consolidated results ($mm)</x:v>
      </x:c>
      <x:c r="B4" s="14"/>
      <x:c r="C4" s="14"/>
      <x:c r="D4" s="14"/>
      <x:c r="E4" s="157"/>
      <x:c r="F4" s="157"/>
      <x:c r="G4" s="157"/>
      <x:c r="H4" s="157"/>
      <x:c r="I4" s="157"/>
      <x:c r="J4" s="157"/>
    </x:row>
    <x:row r="5">
      <x:c r="A5" s="19" t="str">
        <x:v>Line item</x:v>
      </x:c>
      <x:c r="B5" s="19" t="str">
        <x:v>FY2024A</x:v>
      </x:c>
      <x:c r="C5" s="19" t="str">
        <x:v>FY2025A</x:v>
      </x:c>
      <x:c r="D5" s="19" t="str">
        <x:v>FY2026A</x:v>
      </x:c>
      <x:c r="E5" s="157"/>
      <x:c r="F5" s="157"/>
      <x:c r="G5" s="157"/>
      <x:c r="H5" s="157"/>
      <x:c r="I5" s="157"/>
      <x:c r="J5" s="157"/>
    </x:row>
    <x:row r="6">
      <x:c r="A6" s="157" t="str">
        <x:v>Event-related revenue</x:v>
      </x:c>
      <x:c r="B6" s="178" t="n">
        <x:v>458.213</x:v>
      </x:c>
      <x:c r="C6" s="178" t="n">
        <x:v>462.533</x:v>
      </x:c>
      <x:c r="D6" s="178" t="n">
        <x:v>536.546</x:v>
      </x:c>
      <x:c r="E6" s="157"/>
      <x:c r="F6" s="157"/>
      <x:c r="G6" s="157"/>
      <x:c r="H6" s="157"/>
      <x:c r="I6" s="157"/>
      <x:c r="J6" s="157"/>
    </x:row>
    <x:row r="7">
      <x:c r="A7" s="157" t="str">
        <x:v>Media-rights revenue</x:v>
      </x:c>
      <x:c r="B7" s="178" t="n">
        <x:v>297.756</x:v>
      </x:c>
      <x:c r="C7" s="178" t="n">
        <x:v>285.566</x:v>
      </x:c>
      <x:c r="D7" s="178" t="n">
        <x:v>295.74</x:v>
      </x:c>
      <x:c r="E7" s="157"/>
      <x:c r="F7" s="157"/>
      <x:c r="G7" s="157"/>
      <x:c r="H7" s="157"/>
      <x:c r="I7" s="157"/>
      <x:c r="J7" s="157"/>
    </x:row>
    <x:row r="8">
      <x:c r="A8" s="157" t="str">
        <x:v>Sponsorship / signage / suites</x:v>
      </x:c>
      <x:c r="B8" s="178" t="n">
        <x:v>210.742</x:v>
      </x:c>
      <x:c r="C8" s="178" t="n">
        <x:v>230.184</x:v>
      </x:c>
      <x:c r="D8" s="178" t="n">
        <x:v>255.349</x:v>
      </x:c>
      <x:c r="E8" s="157"/>
      <x:c r="F8" s="157"/>
      <x:c r="G8" s="157"/>
      <x:c r="H8" s="157"/>
      <x:c r="I8" s="157"/>
      <x:c r="J8" s="157"/>
    </x:row>
    <x:row r="9">
      <x:c r="A9" s="157" t="str">
        <x:v>League distributions / other</x:v>
      </x:c>
      <x:c r="B9" s="178" t="n">
        <x:v>60.438</x:v>
      </x:c>
      <x:c r="C9" s="178" t="n">
        <x:v>60.937</x:v>
      </x:c>
      <x:c r="D9" s="178" t="n">
        <x:v>66.187</x:v>
      </x:c>
      <x:c r="E9" s="157"/>
      <x:c r="F9" s="157"/>
      <x:c r="G9" s="157"/>
      <x:c r="H9" s="157"/>
      <x:c r="I9" s="157"/>
      <x:c r="J9" s="157"/>
    </x:row>
    <x:row r="10">
      <x:c r="A10" s="157" t="str">
        <x:v>Total revenue</x:v>
      </x:c>
      <x:c r="B10" s="178" t="n">
        <x:v>1027.149</x:v>
      </x:c>
      <x:c r="C10" s="178" t="n">
        <x:v>1039.22</x:v>
      </x:c>
      <x:c r="D10" s="178" t="n">
        <x:v>1153.822</x:v>
      </x:c>
      <x:c r="E10" s="157"/>
      <x:c r="F10" s="157"/>
      <x:c r="G10" s="157"/>
      <x:c r="H10" s="157"/>
      <x:c r="I10" s="157"/>
      <x:c r="J10" s="157"/>
    </x:row>
    <x:row r="11">
      <x:c r="A11" s="157" t="str">
        <x:v>Direct operating expense</x:v>
      </x:c>
      <x:c r="B11" s="178" t="n">
        <x:v>616.514</x:v>
      </x:c>
      <x:c r="C11" s="178" t="n">
        <x:v>755.118</x:v>
      </x:c>
      <x:c r="D11" s="178" t="n">
        <x:v>833.702</x:v>
      </x:c>
      <x:c r="E11" s="157"/>
      <x:c r="F11" s="157"/>
      <x:c r="G11" s="157"/>
      <x:c r="H11" s="157"/>
      <x:c r="I11" s="157"/>
      <x:c r="J11" s="157"/>
    </x:row>
    <x:row r="12">
      <x:c r="A12" s="157" t="str">
        <x:v>SG&amp;A</x:v>
      </x:c>
      <x:c r="B12" s="178" t="n">
        <x:v>261.433</x:v>
      </x:c>
      <x:c r="C12" s="178" t="n">
        <x:v>266.076</x:v>
      </x:c>
      <x:c r="D12" s="178" t="n">
        <x:v>285.995</x:v>
      </x:c>
      <x:c r="E12" s="157"/>
      <x:c r="F12" s="157"/>
      <x:c r="G12" s="157"/>
      <x:c r="H12" s="157"/>
      <x:c r="I12" s="157"/>
      <x:c r="J12" s="157"/>
    </x:row>
    <x:row r="13">
      <x:c r="A13" s="157" t="str">
        <x:v>D&amp;A</x:v>
      </x:c>
      <x:c r="B13" s="178" t="n">
        <x:v>3.164</x:v>
      </x:c>
      <x:c r="C13" s="178" t="n">
        <x:v>3.218</x:v>
      </x:c>
      <x:c r="D13" s="178" t="n">
        <x:v>3.179</x:v>
      </x:c>
      <x:c r="E13" s="157"/>
      <x:c r="F13" s="157"/>
      <x:c r="G13" s="157"/>
      <x:c r="H13" s="157"/>
      <x:c r="I13" s="157"/>
      <x:c r="J13" s="157"/>
    </x:row>
    <x:row r="14">
      <x:c r="A14" s="157" t="str">
        <x:v>Restructuring</x:v>
      </x:c>
      <x:c r="B14" s="178" t="n">
        <x:v>0</x:v>
      </x:c>
      <x:c r="C14" s="178" t="n">
        <x:v>0</x:v>
      </x:c>
      <x:c r="D14" s="178" t="n">
        <x:v>2.078</x:v>
      </x:c>
      <x:c r="E14" s="157"/>
      <x:c r="F14" s="157"/>
      <x:c r="G14" s="157"/>
      <x:c r="H14" s="157"/>
      <x:c r="I14" s="157"/>
      <x:c r="J14" s="157"/>
    </x:row>
    <x:row r="15">
      <x:c r="A15" s="157" t="str">
        <x:v>Operating income (EBIT)</x:v>
      </x:c>
      <x:c r="B15" s="178" t="n">
        <x:v>146.038</x:v>
      </x:c>
      <x:c r="C15" s="178" t="n">
        <x:v>14.808</x:v>
      </x:c>
      <x:c r="D15" s="178" t="n">
        <x:v>28.868</x:v>
      </x:c>
      <x:c r="E15" s="157"/>
      <x:c r="F15" s="157"/>
      <x:c r="G15" s="157"/>
      <x:c r="H15" s="157"/>
      <x:c r="I15" s="157"/>
      <x:c r="J15" s="157"/>
    </x:row>
    <x:row r="16">
      <x:c r="A16" s="157" t="str">
        <x:v>Interest income</x:v>
      </x:c>
      <x:c r="B16" s="178" t="n">
        <x:v>2.787</x:v>
      </x:c>
      <x:c r="C16" s="178" t="n">
        <x:v>4.034</x:v>
      </x:c>
      <x:c r="D16" s="178" t="n">
        <x:v>2.939</x:v>
      </x:c>
      <x:c r="E16" s="157"/>
      <x:c r="F16" s="157"/>
      <x:c r="G16" s="157"/>
      <x:c r="H16" s="157"/>
      <x:c r="I16" s="157"/>
      <x:c r="J16" s="157"/>
    </x:row>
    <x:row r="17">
      <x:c r="A17" s="157" t="str">
        <x:v>Interest expense</x:v>
      </x:c>
      <x:c r="B17" s="178" t="n">
        <x:v>-27.589</x:v>
      </x:c>
      <x:c r="C17" s="178" t="n">
        <x:v>-21.652</x:v>
      </x:c>
      <x:c r="D17" s="178" t="n">
        <x:v>-21.085</x:v>
      </x:c>
      <x:c r="E17" s="157"/>
      <x:c r="F17" s="157"/>
      <x:c r="G17" s="157"/>
      <x:c r="H17" s="157"/>
      <x:c r="I17" s="157"/>
      <x:c r="J17" s="157"/>
    </x:row>
    <x:row r="18">
      <x:c r="A18" s="157" t="str">
        <x:v>Miscellaneous</x:v>
      </x:c>
      <x:c r="B18" s="178" t="n">
        <x:v>-15.568</x:v>
      </x:c>
      <x:c r="C18" s="178" t="n">
        <x:v>-14.462</x:v>
      </x:c>
      <x:c r="D18" s="178" t="n">
        <x:v>7.261</x:v>
      </x:c>
      <x:c r="E18" s="157"/>
      <x:c r="F18" s="157"/>
      <x:c r="G18" s="157"/>
      <x:c r="H18" s="157"/>
      <x:c r="I18" s="157"/>
      <x:c r="J18" s="157"/>
    </x:row>
    <x:row r="19">
      <x:c r="A19" s="157" t="str">
        <x:v>Pre-tax income</x:v>
      </x:c>
      <x:c r="B19" s="178" t="n">
        <x:v>105.668</x:v>
      </x:c>
      <x:c r="C19" s="178" t="n">
        <x:v>-17.272</x:v>
      </x:c>
      <x:c r="D19" s="178" t="n">
        <x:v>17.983</x:v>
      </x:c>
      <x:c r="E19" s="157"/>
      <x:c r="F19" s="157"/>
      <x:c r="G19" s="157"/>
      <x:c r="H19" s="157"/>
      <x:c r="I19" s="157"/>
      <x:c r="J19" s="157"/>
    </x:row>
    <x:row r="20">
      <x:c r="A20" s="157" t="str">
        <x:v>Income tax expense / (benefit)</x:v>
      </x:c>
      <x:c r="B20" s="178" t="n">
        <x:v>-46.897</x:v>
      </x:c>
      <x:c r="C20" s="178" t="n">
        <x:v>-5.166</x:v>
      </x:c>
      <x:c r="D20" s="178" t="n">
        <x:v>-10.224</x:v>
      </x:c>
      <x:c r="E20" s="157"/>
      <x:c r="F20" s="157"/>
      <x:c r="G20" s="157"/>
      <x:c r="H20" s="157"/>
      <x:c r="I20" s="157"/>
      <x:c r="J20" s="157"/>
    </x:row>
    <x:row r="21">
      <x:c r="A21" s="157" t="str">
        <x:v>Net income</x:v>
      </x:c>
      <x:c r="B21" s="178" t="n">
        <x:v>58.771</x:v>
      </x:c>
      <x:c r="C21" s="178" t="n">
        <x:v>-22.438</x:v>
      </x:c>
      <x:c r="D21" s="178" t="n">
        <x:v>7.759</x:v>
      </x:c>
      <x:c r="E21" s="157"/>
      <x:c r="F21" s="157"/>
      <x:c r="G21" s="157"/>
      <x:c r="H21" s="157"/>
      <x:c r="I21" s="157"/>
      <x:c r="J21" s="157"/>
    </x:row>
    <x:row r="22">
      <x:c r="A22" s="157" t="str">
        <x:v>Cash flow from operations</x:v>
      </x:c>
      <x:c r="B22" s="178" t="n">
        <x:v>92.131</x:v>
      </x:c>
      <x:c r="C22" s="178" t="n">
        <x:v>91.607</x:v>
      </x:c>
      <x:c r="D22" s="178" t="n">
        <x:v>62.663</x:v>
      </x:c>
      <x:c r="E22" s="157"/>
      <x:c r="F22" s="157"/>
      <x:c r="G22" s="157"/>
      <x:c r="H22" s="157"/>
      <x:c r="I22" s="157"/>
      <x:c r="J22" s="157"/>
    </x:row>
    <x:row r="23">
      <x:c r="A23" s="157" t="str">
        <x:v>Capital spending</x:v>
      </x:c>
      <x:c r="B23" s="178" t="n">
        <x:v>1.451</x:v>
      </x:c>
      <x:c r="C23" s="178" t="n">
        <x:v>3.621</x:v>
      </x:c>
      <x:c r="D23" s="178" t="n">
        <x:v>1.407</x:v>
      </x:c>
      <x:c r="E23" s="157"/>
      <x:c r="F23" s="157"/>
      <x:c r="G23" s="157"/>
      <x:c r="H23" s="157"/>
      <x:c r="I23" s="157"/>
      <x:c r="J23" s="157"/>
    </x:row>
    <x:row r="24">
      <x:c r="A24" s="157"/>
      <x:c r="B24" s="157"/>
      <x:c r="C24" s="157"/>
      <x:c r="D24" s="157"/>
      <x:c r="E24" s="157"/>
      <x:c r="F24" s="157"/>
      <x:c r="G24" s="157"/>
      <x:c r="H24" s="157"/>
      <x:c r="I24" s="157"/>
      <x:c r="J24" s="157"/>
    </x:row>
    <x:row r="25">
      <x:c r="A25" s="157"/>
      <x:c r="B25" s="157"/>
      <x:c r="C25" s="157"/>
      <x:c r="D25" s="157"/>
      <x:c r="E25" s="157"/>
      <x:c r="F25" s="157"/>
      <x:c r="G25" s="157"/>
      <x:c r="H25" s="157"/>
      <x:c r="I25" s="157"/>
      <x:c r="J25" s="157"/>
    </x:row>
    <x:row r="26" ht="20" customHeight="1">
      <x:c r="A26" s="14" t="str">
        <x:v>Reported Rangers carve-out results ($mm)</x:v>
      </x:c>
      <x:c r="B26" s="14"/>
      <x:c r="C26" s="14"/>
      <x:c r="D26" s="14"/>
      <x:c r="E26" s="157"/>
      <x:c r="F26" s="157"/>
      <x:c r="G26" s="157"/>
      <x:c r="H26" s="157"/>
      <x:c r="I26" s="157"/>
      <x:c r="J26" s="157"/>
    </x:row>
    <x:row r="27">
      <x:c r="A27" s="19" t="str">
        <x:v>Line item</x:v>
      </x:c>
      <x:c r="B27" s="19" t="str">
        <x:v>FY2024A</x:v>
      </x:c>
      <x:c r="C27" s="19" t="str">
        <x:v>FY2025A</x:v>
      </x:c>
      <x:c r="D27" s="19" t="str">
        <x:v>FY2026A</x:v>
      </x:c>
      <x:c r="E27" s="157"/>
      <x:c r="F27" s="157"/>
      <x:c r="G27" s="157"/>
      <x:c r="H27" s="157"/>
      <x:c r="I27" s="157"/>
      <x:c r="J27" s="157"/>
    </x:row>
    <x:row r="28">
      <x:c r="A28" s="157" t="str">
        <x:v>Event-related revenue</x:v>
      </x:c>
      <x:c r="B28" s="178" t="n">
        <x:v>210.789</x:v>
      </x:c>
      <x:c r="C28" s="178" t="n">
        <x:v>150.645</x:v>
      </x:c>
      <x:c r="D28" s="178" t="n">
        <x:v>146.114</x:v>
      </x:c>
      <x:c r="E28" s="157"/>
      <x:c r="F28" s="157"/>
      <x:c r="G28" s="157"/>
      <x:c r="H28" s="157"/>
      <x:c r="I28" s="157"/>
      <x:c r="J28" s="157"/>
    </x:row>
    <x:row r="29">
      <x:c r="A29" s="157" t="str">
        <x:v>Media-rights revenue</x:v>
      </x:c>
      <x:c r="B29" s="178" t="n">
        <x:v>65.735</x:v>
      </x:c>
      <x:c r="C29" s="178" t="n">
        <x:v>64.39</x:v>
      </x:c>
      <x:c r="D29" s="178" t="n">
        <x:v>61.725</x:v>
      </x:c>
      <x:c r="E29" s="157"/>
      <x:c r="F29" s="157"/>
      <x:c r="G29" s="157"/>
      <x:c r="H29" s="157"/>
      <x:c r="I29" s="157"/>
      <x:c r="J29" s="157"/>
    </x:row>
    <x:row r="30">
      <x:c r="A30" s="157" t="str">
        <x:v>Sponsorship / signage / suites</x:v>
      </x:c>
      <x:c r="B30" s="178" t="n">
        <x:v>99.416</x:v>
      </x:c>
      <x:c r="C30" s="178" t="n">
        <x:v>101.166</x:v>
      </x:c>
      <x:c r="D30" s="178" t="n">
        <x:v>111.21</x:v>
      </x:c>
      <x:c r="E30" s="157"/>
      <x:c r="F30" s="157"/>
      <x:c r="G30" s="157"/>
      <x:c r="H30" s="157"/>
      <x:c r="I30" s="157"/>
      <x:c r="J30" s="157"/>
    </x:row>
    <x:row r="31">
      <x:c r="A31" s="157" t="str">
        <x:v>League distributions / other</x:v>
      </x:c>
      <x:c r="B31" s="178" t="n">
        <x:v>25.592</x:v>
      </x:c>
      <x:c r="C31" s="178" t="n">
        <x:v>15.816</x:v>
      </x:c>
      <x:c r="D31" s="178" t="n">
        <x:v>18.221</x:v>
      </x:c>
      <x:c r="E31" s="157"/>
      <x:c r="F31" s="157"/>
      <x:c r="G31" s="157"/>
      <x:c r="H31" s="157"/>
      <x:c r="I31" s="157"/>
      <x:c r="J31" s="157"/>
    </x:row>
    <x:row r="32">
      <x:c r="A32" s="157" t="str">
        <x:v>Total revenue</x:v>
      </x:c>
      <x:c r="B32" s="178" t="n">
        <x:v>401.532</x:v>
      </x:c>
      <x:c r="C32" s="178" t="n">
        <x:v>332.017</x:v>
      </x:c>
      <x:c r="D32" s="178" t="n">
        <x:v>337.27</x:v>
      </x:c>
      <x:c r="E32" s="157"/>
      <x:c r="F32" s="157"/>
      <x:c r="G32" s="157"/>
      <x:c r="H32" s="157"/>
      <x:c r="I32" s="157"/>
      <x:c r="J32" s="157"/>
    </x:row>
    <x:row r="33">
      <x:c r="A33" s="157" t="str">
        <x:v>Direct operating expense</x:v>
      </x:c>
      <x:c r="B33" s="178" t="n">
        <x:v>268.044</x:v>
      </x:c>
      <x:c r="C33" s="178" t="n">
        <x:v>256.473</x:v>
      </x:c>
      <x:c r="D33" s="178" t="n">
        <x:v>262.605</x:v>
      </x:c>
      <x:c r="E33" s="157"/>
      <x:c r="F33" s="157"/>
      <x:c r="G33" s="157"/>
      <x:c r="H33" s="157"/>
      <x:c r="I33" s="157"/>
      <x:c r="J33" s="157"/>
    </x:row>
    <x:row r="34">
      <x:c r="A34" s="157" t="str">
        <x:v>SG&amp;A</x:v>
      </x:c>
      <x:c r="B34" s="178" t="n">
        <x:v>104.141</x:v>
      </x:c>
      <x:c r="C34" s="178" t="n">
        <x:v>96.342</x:v>
      </x:c>
      <x:c r="D34" s="178" t="n">
        <x:v>101.557</x:v>
      </x:c>
      <x:c r="E34" s="157"/>
      <x:c r="F34" s="157"/>
      <x:c r="G34" s="157"/>
      <x:c r="H34" s="157"/>
      <x:c r="I34" s="157"/>
      <x:c r="J34" s="157"/>
    </x:row>
    <x:row r="35">
      <x:c r="A35" s="157" t="str">
        <x:v>D&amp;A</x:v>
      </x:c>
      <x:c r="B35" s="178" t="n">
        <x:v>2.514</x:v>
      </x:c>
      <x:c r="C35" s="178" t="n">
        <x:v>2.461</x:v>
      </x:c>
      <x:c r="D35" s="178" t="n">
        <x:v>2.348</x:v>
      </x:c>
      <x:c r="E35" s="157"/>
      <x:c r="F35" s="157"/>
      <x:c r="G35" s="157"/>
      <x:c r="H35" s="157"/>
      <x:c r="I35" s="157"/>
      <x:c r="J35" s="157"/>
    </x:row>
    <x:row r="36">
      <x:c r="A36" s="157" t="str">
        <x:v>Restructuring</x:v>
      </x:c>
      <x:c r="B36" s="178" t="n">
        <x:v>0</x:v>
      </x:c>
      <x:c r="C36" s="178" t="n">
        <x:v>0</x:v>
      </x:c>
      <x:c r="D36" s="178" t="n">
        <x:v>1.234</x:v>
      </x:c>
      <x:c r="E36" s="157"/>
      <x:c r="F36" s="157"/>
      <x:c r="G36" s="157"/>
      <x:c r="H36" s="157"/>
      <x:c r="I36" s="157"/>
      <x:c r="J36" s="157"/>
    </x:row>
    <x:row r="37">
      <x:c r="A37" s="157" t="str">
        <x:v>Operating income (EBIT)</x:v>
      </x:c>
      <x:c r="B37" s="178" t="n">
        <x:v>26.833</x:v>
      </x:c>
      <x:c r="C37" s="178" t="n">
        <x:v>-23.259</x:v>
      </x:c>
      <x:c r="D37" s="178" t="n">
        <x:v>-30.474</x:v>
      </x:c>
      <x:c r="E37" s="157"/>
      <x:c r="F37" s="157"/>
      <x:c r="G37" s="157"/>
      <x:c r="H37" s="157"/>
      <x:c r="I37" s="157"/>
      <x:c r="J37" s="157"/>
    </x:row>
    <x:row r="38">
      <x:c r="A38" s="157" t="str">
        <x:v>Interest income</x:v>
      </x:c>
      <x:c r="B38" s="178" t="n">
        <x:v>0.086</x:v>
      </x:c>
      <x:c r="C38" s="178" t="n">
        <x:v>0.063</x:v>
      </x:c>
      <x:c r="D38" s="178" t="n">
        <x:v>0.037</x:v>
      </x:c>
      <x:c r="E38" s="157"/>
      <x:c r="F38" s="157"/>
      <x:c r="G38" s="157"/>
      <x:c r="H38" s="157"/>
      <x:c r="I38" s="157"/>
      <x:c r="J38" s="157"/>
    </x:row>
    <x:row r="39">
      <x:c r="A39" s="157" t="str">
        <x:v>Interest expense</x:v>
      </x:c>
      <x:c r="B39" s="178" t="n">
        <x:v>-8.268</x:v>
      </x:c>
      <x:c r="C39" s="178" t="n">
        <x:v>-4.065</x:v>
      </x:c>
      <x:c r="D39" s="178" t="n">
        <x:v>-3.63</x:v>
      </x:c>
      <x:c r="E39" s="157"/>
      <x:c r="F39" s="157"/>
      <x:c r="G39" s="157"/>
      <x:c r="H39" s="157"/>
      <x:c r="I39" s="157"/>
      <x:c r="J39" s="157"/>
    </x:row>
    <x:row r="40">
      <x:c r="A40" s="157" t="str">
        <x:v>Miscellaneous</x:v>
      </x:c>
      <x:c r="B40" s="178" t="n">
        <x:v>-0.187</x:v>
      </x:c>
      <x:c r="C40" s="178" t="n">
        <x:v>-0.585</x:v>
      </x:c>
      <x:c r="D40" s="178" t="n">
        <x:v>-0.083</x:v>
      </x:c>
      <x:c r="E40" s="157"/>
      <x:c r="F40" s="157"/>
      <x:c r="G40" s="157"/>
      <x:c r="H40" s="157"/>
      <x:c r="I40" s="157"/>
      <x:c r="J40" s="157"/>
    </x:row>
    <x:row r="41">
      <x:c r="A41" s="157" t="str">
        <x:v>Pre-tax income</x:v>
      </x:c>
      <x:c r="B41" s="178" t="n">
        <x:v>18.464</x:v>
      </x:c>
      <x:c r="C41" s="178" t="n">
        <x:v>-27.846</x:v>
      </x:c>
      <x:c r="D41" s="178" t="n">
        <x:v>-34.15</x:v>
      </x:c>
      <x:c r="E41" s="157"/>
      <x:c r="F41" s="157"/>
      <x:c r="G41" s="157"/>
      <x:c r="H41" s="157"/>
      <x:c r="I41" s="157"/>
      <x:c r="J41" s="157"/>
    </x:row>
    <x:row r="42">
      <x:c r="A42" s="157" t="str">
        <x:v>Income tax expense / (benefit)</x:v>
      </x:c>
      <x:c r="B42" s="178" t="n">
        <x:v>-11.024</x:v>
      </x:c>
      <x:c r="C42" s="178" t="n">
        <x:v>4.81</x:v>
      </x:c>
      <x:c r="D42" s="178" t="n">
        <x:v>7.772</x:v>
      </x:c>
      <x:c r="E42" s="157"/>
      <x:c r="F42" s="157"/>
      <x:c r="G42" s="157"/>
      <x:c r="H42" s="157"/>
      <x:c r="I42" s="157"/>
      <x:c r="J42" s="157"/>
    </x:row>
    <x:row r="43">
      <x:c r="A43" s="157" t="str">
        <x:v>Net income</x:v>
      </x:c>
      <x:c r="B43" s="178" t="n">
        <x:v>7.44</x:v>
      </x:c>
      <x:c r="C43" s="178" t="n">
        <x:v>-23.036</x:v>
      </x:c>
      <x:c r="D43" s="178" t="n">
        <x:v>-26.378</x:v>
      </x:c>
      <x:c r="E43" s="157"/>
      <x:c r="F43" s="157"/>
      <x:c r="G43" s="157"/>
      <x:c r="H43" s="157"/>
      <x:c r="I43" s="157"/>
      <x:c r="J43" s="157"/>
    </x:row>
    <x:row r="44">
      <x:c r="A44" s="157" t="str">
        <x:v>Cash flow from operations</x:v>
      </x:c>
      <x:c r="B44" s="178" t="n">
        <x:v>6.096</x:v>
      </x:c>
      <x:c r="C44" s="178" t="n">
        <x:v>-3.241</x:v>
      </x:c>
      <x:c r="D44" s="178" t="n">
        <x:v>-48.661</x:v>
      </x:c>
      <x:c r="E44" s="157"/>
      <x:c r="F44" s="157"/>
      <x:c r="G44" s="157"/>
      <x:c r="H44" s="157"/>
      <x:c r="I44" s="157"/>
      <x:c r="J44" s="157"/>
    </x:row>
    <x:row r="45">
      <x:c r="A45" s="157" t="str">
        <x:v>Capital spending</x:v>
      </x:c>
      <x:c r="B45" s="178" t="n">
        <x:v>0.646</x:v>
      </x:c>
      <x:c r="C45" s="178" t="n">
        <x:v>0.472</x:v>
      </x:c>
      <x:c r="D45" s="178" t="n">
        <x:v>0.634</x:v>
      </x:c>
      <x:c r="E45" s="157"/>
      <x:c r="F45" s="157"/>
      <x:c r="G45" s="157"/>
      <x:c r="H45" s="157"/>
      <x:c r="I45" s="157"/>
      <x:c r="J45" s="157"/>
    </x:row>
    <x:row r="46">
      <x:c r="A46" s="157"/>
      <x:c r="B46" s="157"/>
      <x:c r="C46" s="157"/>
      <x:c r="D46" s="157"/>
      <x:c r="E46" s="157"/>
      <x:c r="F46" s="157"/>
      <x:c r="G46" s="157"/>
      <x:c r="H46" s="157"/>
      <x:c r="I46" s="157"/>
      <x:c r="J46" s="157"/>
    </x:row>
    <x:row r="47">
      <x:c r="A47" s="157"/>
      <x:c r="B47" s="157"/>
      <x:c r="C47" s="157"/>
      <x:c r="D47" s="157"/>
      <x:c r="E47" s="157"/>
      <x:c r="F47" s="157"/>
      <x:c r="G47" s="157"/>
      <x:c r="H47" s="157"/>
      <x:c r="I47" s="157"/>
      <x:c r="J47" s="157"/>
    </x:row>
    <x:row r="48" ht="20" customHeight="1">
      <x:c r="A48" s="14" t="str">
        <x:v>Standalone Knicks residual and forecast ($mm)</x:v>
      </x:c>
      <x:c r="B48" s="14"/>
      <x:c r="C48" s="14"/>
      <x:c r="D48" s="14"/>
      <x:c r="E48" s="14"/>
      <x:c r="F48" s="14"/>
      <x:c r="G48" s="14"/>
      <x:c r="H48" s="14"/>
      <x:c r="I48" s="14"/>
      <x:c r="J48" s="157"/>
    </x:row>
    <x:row r="49">
      <x:c r="A49" s="19" t="str">
        <x:v>Line item</x:v>
      </x:c>
      <x:c r="B49" s="19" t="str">
        <x:v>FY2024A</x:v>
      </x:c>
      <x:c r="C49" s="19" t="str">
        <x:v>FY2025A</x:v>
      </x:c>
      <x:c r="D49" s="19" t="str">
        <x:v>FY2026A</x:v>
      </x:c>
      <x:c r="E49" s="19" t="str">
        <x:v>FY2027E</x:v>
      </x:c>
      <x:c r="F49" s="19" t="str">
        <x:v>FY2028E</x:v>
      </x:c>
      <x:c r="G49" s="19" t="str">
        <x:v>FY2029E</x:v>
      </x:c>
      <x:c r="H49" s="19" t="str">
        <x:v>FY2030E</x:v>
      </x:c>
      <x:c r="I49" s="19" t="str">
        <x:v>FY2031E</x:v>
      </x:c>
      <x:c r="J49" s="157"/>
    </x:row>
    <x:row r="50">
      <x:c r="A50" s="157" t="str">
        <x:v>Event-related revenue</x:v>
      </x:c>
      <x:c r="B50" s="179" t="n">
        <x:f>B6-B28</x:f>
        <x:v>247.42400000000004</x:v>
      </x:c>
      <x:c r="C50" s="179" t="n">
        <x:f>C6-C28</x:f>
        <x:v>311.88800000000003</x:v>
      </x:c>
      <x:c r="D50" s="179" t="n">
        <x:f>D6-D28</x:f>
        <x:v>390.432</x:v>
      </x:c>
      <x:c r="E50" s="180" t="n">
        <x:f>E72+E73</x:f>
        <x:v>281.74517</x:v>
      </x:c>
      <x:c r="F50" s="180" t="n">
        <x:f>F72+F73</x:f>
        <x:v>290.1975251</x:v>
      </x:c>
      <x:c r="G50" s="180" t="n">
        <x:f>G72+G73</x:f>
        <x:v>298.903450853</x:v>
      </x:c>
      <x:c r="H50" s="180" t="n">
        <x:f>H72+H73</x:f>
        <x:v>307.87055437859</x:v>
      </x:c>
      <x:c r="I50" s="180" t="n">
        <x:f>I72+I73</x:f>
        <x:v>317.1066710099477</x:v>
      </x:c>
      <x:c r="J50" s="157"/>
    </x:row>
    <x:row r="51">
      <x:c r="A51" s="157" t="str">
        <x:v>Media-rights revenue</x:v>
      </x:c>
      <x:c r="B51" s="179" t="n">
        <x:f>B7-B29</x:f>
        <x:v>232.02099999999996</x:v>
      </x:c>
      <x:c r="C51" s="179" t="n">
        <x:f>C7-C29</x:f>
        <x:v>221.176</x:v>
      </x:c>
      <x:c r="D51" s="179" t="n">
        <x:f>D7-D29</x:f>
        <x:v>234.01500000000001</x:v>
      </x:c>
      <x:c r="E51" s="180" t="n">
        <x:f>E74</x:f>
        <x:v>239.865375</x:v>
      </x:c>
      <x:c r="F51" s="180" t="n">
        <x:f>F74</x:f>
        <x:v>245.86200937499999</x:v>
      </x:c>
      <x:c r="G51" s="180" t="n">
        <x:f>G74</x:f>
        <x:v>252.00855960937497</x:v>
      </x:c>
      <x:c r="H51" s="180" t="n">
        <x:f>H74</x:f>
        <x:v>258.3087735996093</x:v>
      </x:c>
      <x:c r="I51" s="180" t="n">
        <x:f>I74</x:f>
        <x:v>264.7664929395995</x:v>
      </x:c>
      <x:c r="J51" s="157"/>
    </x:row>
    <x:row r="52">
      <x:c r="A52" s="157" t="str">
        <x:v>Sponsorship / signage / suites</x:v>
      </x:c>
      <x:c r="B52" s="179" t="n">
        <x:f>B8-B30</x:f>
        <x:v>111.326</x:v>
      </x:c>
      <x:c r="C52" s="179" t="n">
        <x:f>C8-C30</x:f>
        <x:v>129.018</x:v>
      </x:c>
      <x:c r="D52" s="179" t="n">
        <x:f>D8-D30</x:f>
        <x:v>144.139</x:v>
      </x:c>
      <x:c r="E52" s="180" t="n">
        <x:f>E75</x:f>
        <x:v>151.34595000000002</x:v>
      </x:c>
      <x:c r="F52" s="180" t="n">
        <x:f>F75</x:f>
        <x:v>158.9132475</x:v>
      </x:c>
      <x:c r="G52" s="180" t="n">
        <x:f>G75</x:f>
        <x:v>166.85890987500002</x:v>
      </x:c>
      <x:c r="H52" s="180" t="n">
        <x:f>H75</x:f>
        <x:v>175.20185536875005</x:v>
      </x:c>
      <x:c r="I52" s="180" t="n">
        <x:f>I75</x:f>
        <x:v>183.96194813718756</x:v>
      </x:c>
      <x:c r="J52" s="157"/>
    </x:row>
    <x:row r="53">
      <x:c r="A53" s="157" t="str">
        <x:v>League distributions / other</x:v>
      </x:c>
      <x:c r="B53" s="179" t="n">
        <x:f>B9-B31</x:f>
        <x:v>34.846000000000004</x:v>
      </x:c>
      <x:c r="C53" s="179" t="n">
        <x:f>C9-C31</x:f>
        <x:v>45.120999999999995</x:v>
      </x:c>
      <x:c r="D53" s="179" t="n">
        <x:f>D9-D31</x:f>
        <x:v>47.965999999999994</x:v>
      </x:c>
      <x:c r="E53" s="180" t="n">
        <x:f>E76</x:f>
        <x:v>49.404979999999995</x:v>
      </x:c>
      <x:c r="F53" s="180" t="n">
        <x:f>F76</x:f>
        <x:v>50.8871294</x:v>
      </x:c>
      <x:c r="G53" s="180" t="n">
        <x:f>G76</x:f>
        <x:v>52.413743282</x:v>
      </x:c>
      <x:c r="H53" s="180" t="n">
        <x:f>H76</x:f>
        <x:v>53.98615558046</x:v>
      </x:c>
      <x:c r="I53" s="180" t="n">
        <x:f>I76</x:f>
        <x:v>55.605740247873804</x:v>
      </x:c>
      <x:c r="J53" s="157"/>
    </x:row>
    <x:row r="54">
      <x:c r="A54" s="181" t="str">
        <x:v>Total revenue</x:v>
      </x:c>
      <x:c r="B54" s="163" t="n">
        <x:f>B10-B32</x:f>
        <x:v>625.617</x:v>
      </x:c>
      <x:c r="C54" s="163" t="n">
        <x:f>C10-C32</x:f>
        <x:v>707.203</x:v>
      </x:c>
      <x:c r="D54" s="163" t="n">
        <x:f>D10-D32</x:f>
        <x:v>816.5519999999999</x:v>
      </x:c>
      <x:c r="E54" s="182" t="n">
        <x:f>SUM(E50:E53)</x:f>
        <x:v>722.361475</x:v>
      </x:c>
      <x:c r="F54" s="182" t="n">
        <x:f>SUM(F50:F53)</x:f>
        <x:v>745.859911375</x:v>
      </x:c>
      <x:c r="G54" s="182" t="n">
        <x:f>SUM(G50:G53)</x:f>
        <x:v>770.184663619375</x:v>
      </x:c>
      <x:c r="H54" s="182" t="n">
        <x:f>SUM(H50:H53)</x:f>
        <x:v>795.3673389274095</x:v>
      </x:c>
      <x:c r="I54" s="182" t="n">
        <x:f>SUM(I50:I53)</x:f>
        <x:v>821.4408523346086</x:v>
      </x:c>
      <x:c r="J54" s="157"/>
    </x:row>
    <x:row r="55">
      <x:c r="A55" s="157" t="str"/>
      <x:c r="B55" s="179"/>
      <x:c r="C55" s="179"/>
      <x:c r="D55" s="179"/>
      <x:c r="E55" s="180"/>
      <x:c r="F55" s="180"/>
      <x:c r="G55" s="180"/>
      <x:c r="H55" s="180"/>
      <x:c r="I55" s="180"/>
      <x:c r="J55" s="157"/>
    </x:row>
    <x:row r="56">
      <x:c r="A56" s="157" t="str">
        <x:v>Direct operating expense</x:v>
      </x:c>
      <x:c r="B56" s="179" t="n">
        <x:f>B11-B33</x:f>
        <x:v>348.47</x:v>
      </x:c>
      <x:c r="C56" s="179" t="n">
        <x:f>C11-C33</x:f>
        <x:v>498.64500000000004</x:v>
      </x:c>
      <x:c r="D56" s="179" t="n">
        <x:f>D11-D33</x:f>
        <x:v>571.097</x:v>
      </x:c>
      <x:c r="E56" s="180" t="n">
        <x:f>E77+E78</x:f>
        <x:v>501.5306499999999</x:v>
      </x:c>
      <x:c r="F56" s="180" t="n">
        <x:f>F77+F78</x:f>
        <x:v>506.54595649999993</x:v>
      </x:c>
      <x:c r="G56" s="180" t="n">
        <x:f>G77+G78</x:f>
        <x:v>511.61141606499996</x:v>
      </x:c>
      <x:c r="H56" s="180" t="n">
        <x:f>H77+H78</x:f>
        <x:v>516.72753022565</x:v>
      </x:c>
      <x:c r="I56" s="180" t="n">
        <x:f>I77+I78</x:f>
        <x:v>521.8948055279064</x:v>
      </x:c>
      <x:c r="J56" s="157"/>
    </x:row>
    <x:row r="57">
      <x:c r="A57" s="157" t="str">
        <x:v>SG&amp;A</x:v>
      </x:c>
      <x:c r="B57" s="179" t="n">
        <x:f>B12-B34</x:f>
        <x:v>157.29199999999997</x:v>
      </x:c>
      <x:c r="C57" s="179" t="n">
        <x:f>C12-C34</x:f>
        <x:v>169.73400000000004</x:v>
      </x:c>
      <x:c r="D57" s="179" t="n">
        <x:f>D12-D34</x:f>
        <x:v>184.438</x:v>
      </x:c>
      <x:c r="E57" s="180" t="n">
        <x:f>E79</x:f>
        <x:v>187.20456999999996</x:v>
      </x:c>
      <x:c r="F57" s="180" t="n">
        <x:f>F79</x:f>
        <x:v>190.01263854999993</x:v>
      </x:c>
      <x:c r="G57" s="180" t="n">
        <x:f>G79</x:f>
        <x:v>192.8628281282499</x:v>
      </x:c>
      <x:c r="H57" s="180" t="n">
        <x:f>H79</x:f>
        <x:v>195.75577055017362</x:v>
      </x:c>
      <x:c r="I57" s="180" t="n">
        <x:f>I79</x:f>
        <x:v>198.6921071084262</x:v>
      </x:c>
      <x:c r="J57" s="157"/>
    </x:row>
    <x:row r="58">
      <x:c r="A58" s="157" t="str">
        <x:v>D&amp;A</x:v>
      </x:c>
      <x:c r="B58" s="179" t="n">
        <x:f>B13-B35</x:f>
        <x:v>0.6500000000000004</x:v>
      </x:c>
      <x:c r="C58" s="179" t="n">
        <x:f>C13-C35</x:f>
        <x:v>0.7570000000000001</x:v>
      </x:c>
      <x:c r="D58" s="179" t="n">
        <x:f>D13-D35</x:f>
        <x:v>0.831</x:v>
      </x:c>
      <x:c r="E58" s="180" t="n">
        <x:f>E54*Assumptions!$F$18</x:f>
        <x:v>1.0835422125</x:v>
      </x:c>
      <x:c r="F58" s="180" t="n">
        <x:f>F54*Assumptions!$F$18</x:f>
        <x:v>1.1187898670625</x:v>
      </x:c>
      <x:c r="G58" s="180" t="n">
        <x:f>G54*Assumptions!$F$18</x:f>
        <x:v>1.1552769954290625</x:v>
      </x:c>
      <x:c r="H58" s="180" t="n">
        <x:f>H54*Assumptions!$F$18</x:f>
        <x:v>1.1930510083911143</x:v>
      </x:c>
      <x:c r="I58" s="180" t="n">
        <x:f>I54*Assumptions!$F$18</x:f>
        <x:v>1.232161278501913</x:v>
      </x:c>
      <x:c r="J58" s="157"/>
    </x:row>
    <x:row r="59">
      <x:c r="A59" s="157" t="str">
        <x:v>Restructuring</x:v>
      </x:c>
      <x:c r="B59" s="179" t="n">
        <x:f>B14-B36</x:f>
        <x:v>0</x:v>
      </x:c>
      <x:c r="C59" s="179" t="n">
        <x:f>C14-C36</x:f>
        <x:v>0</x:v>
      </x:c>
      <x:c r="D59" s="179" t="n">
        <x:f>D14-D36</x:f>
        <x:v>0.8439999999999999</x:v>
      </x:c>
      <x:c r="E59" s="180" t="n">
        <x:v>0</x:v>
      </x:c>
      <x:c r="F59" s="180" t="n">
        <x:v>0</x:v>
      </x:c>
      <x:c r="G59" s="180" t="n">
        <x:v>0</x:v>
      </x:c>
      <x:c r="H59" s="180" t="n">
        <x:v>0</x:v>
      </x:c>
      <x:c r="I59" s="180" t="n">
        <x:v>0</x:v>
      </x:c>
      <x:c r="J59" s="157"/>
    </x:row>
    <x:row r="60">
      <x:c r="A60" s="181" t="str">
        <x:v>Operating income (EBIT)</x:v>
      </x:c>
      <x:c r="B60" s="163" t="n">
        <x:f>B15-B37</x:f>
        <x:v>119.20500000000001</x:v>
      </x:c>
      <x:c r="C60" s="163" t="n">
        <x:f>C15-C37</x:f>
        <x:v>38.067</x:v>
      </x:c>
      <x:c r="D60" s="163" t="n">
        <x:f>D15-D37</x:f>
        <x:v>59.342</x:v>
      </x:c>
      <x:c r="E60" s="182" t="n">
        <x:f>E54-SUM(E56:E59)</x:f>
        <x:v>32.542712787500136</x:v>
      </x:c>
      <x:c r="F60" s="182" t="n">
        <x:f>F54-SUM(F56:F59)</x:f>
        <x:v>48.18252645793768</x:v>
      </x:c>
      <x:c r="G60" s="182" t="n">
        <x:f>G54-SUM(G56:G59)</x:f>
        <x:v>64.55514243069604</x:v>
      </x:c>
      <x:c r="H60" s="182" t="n">
        <x:f>H54-SUM(H56:H59)</x:f>
        <x:v>81.69098714319477</x:v>
      </x:c>
      <x:c r="I60" s="182" t="n">
        <x:f>I54-SUM(I56:I59)</x:f>
        <x:v>99.62177841977405</x:v>
      </x:c>
      <x:c r="J60" s="157"/>
    </x:row>
    <x:row r="61">
      <x:c r="A61" s="181" t="str">
        <x:v>EBIT margin</x:v>
      </x:c>
      <x:c r="B61" s="164" t="n">
        <x:f>B60/B54</x:f>
        <x:v>0.19053989901169568</x:v>
      </x:c>
      <x:c r="C61" s="164" t="n">
        <x:f>C60/C54</x:f>
        <x:v>0.053827543152390474</x:v>
      </x:c>
      <x:c r="D61" s="164" t="n">
        <x:f>D60/D54</x:f>
        <x:v>0.0726738774750414</x:v>
      </x:c>
      <x:c r="E61" s="183" t="n">
        <x:f>E60/E54</x:f>
        <x:v>0.045050454535245164</x:v>
      </x:c>
      <x:c r="F61" s="183" t="n">
        <x:f>F60/F54</x:f>
        <x:v>0.06459996806788117</x:v>
      </x:c>
      <x:c r="G61" s="183" t="n">
        <x:f>G60/G54</x:f>
        <x:v>0.0838177458991824</x:v>
      </x:c>
      <x:c r="H61" s="183" t="n">
        <x:f>H60/H54</x:f>
        <x:v>0.10270850102213015</x:v>
      </x:c>
      <x:c r="I61" s="183" t="n">
        <x:f>I60/I54</x:f>
        <x:v>0.12127687360159896</x:v>
      </x:c>
      <x:c r="J61" s="157"/>
    </x:row>
    <x:row r="62">
      <x:c r="A62" s="157" t="str"/>
      <x:c r="B62" s="184"/>
      <x:c r="C62" s="184"/>
      <x:c r="D62" s="184"/>
      <x:c r="E62" s="185"/>
      <x:c r="F62" s="185"/>
      <x:c r="G62" s="185"/>
      <x:c r="H62" s="185"/>
      <x:c r="I62" s="185"/>
      <x:c r="J62" s="157"/>
    </x:row>
    <x:row r="63">
      <x:c r="A63" s="157" t="str">
        <x:v>Cash taxes on EBIT</x:v>
      </x:c>
      <x:c r="B63" s="179" t="n">
        <x:f>MAX(0,B60*Assumptions!$F$21)</x:f>
        <x:v>29.801250000000003</x:v>
      </x:c>
      <x:c r="C63" s="179" t="n">
        <x:f>MAX(0,C60*Assumptions!$F$21)</x:f>
        <x:v>9.51675</x:v>
      </x:c>
      <x:c r="D63" s="179" t="n">
        <x:f>MAX(0,D60*Assumptions!$F$21)</x:f>
        <x:v>14.8355</x:v>
      </x:c>
      <x:c r="E63" s="180" t="n">
        <x:f>MAX(0,E60*Assumptions!$F$21)</x:f>
        <x:v>8.135678196875034</x:v>
      </x:c>
      <x:c r="F63" s="180" t="n">
        <x:f>MAX(0,F60*Assumptions!$F$21)</x:f>
        <x:v>12.04563161448442</x:v>
      </x:c>
      <x:c r="G63" s="180" t="n">
        <x:f>MAX(0,G60*Assumptions!$F$21)</x:f>
        <x:v>16.13878560767401</x:v>
      </x:c>
      <x:c r="H63" s="180" t="n">
        <x:f>MAX(0,H60*Assumptions!$F$21)</x:f>
        <x:v>20.422746785798694</x:v>
      </x:c>
      <x:c r="I63" s="180" t="n">
        <x:f>MAX(0,I60*Assumptions!$F$21)</x:f>
        <x:v>24.90544460494351</x:v>
      </x:c>
      <x:c r="J63" s="157"/>
    </x:row>
    <x:row r="64">
      <x:c r="A64" s="157" t="str">
        <x:v>NOPAT</x:v>
      </x:c>
      <x:c r="B64" s="179" t="n">
        <x:f>B60-B63</x:f>
        <x:v>89.40375</x:v>
      </x:c>
      <x:c r="C64" s="179" t="n">
        <x:f>C60-C63</x:f>
        <x:v>28.55025</x:v>
      </x:c>
      <x:c r="D64" s="179" t="n">
        <x:f>D60-D63</x:f>
        <x:v>44.5065</x:v>
      </x:c>
      <x:c r="E64" s="180" t="n">
        <x:f>E60-E63</x:f>
        <x:v>24.407034590625102</x:v>
      </x:c>
      <x:c r="F64" s="180" t="n">
        <x:f>F60-F63</x:f>
        <x:v>36.13689484345326</x:v>
      </x:c>
      <x:c r="G64" s="180" t="n">
        <x:f>G60-G63</x:f>
        <x:v>48.41635682302203</x:v>
      </x:c>
      <x:c r="H64" s="180" t="n">
        <x:f>H60-H63</x:f>
        <x:v>61.26824035739608</x:v>
      </x:c>
      <x:c r="I64" s="180" t="n">
        <x:f>I60-I63</x:f>
        <x:v>74.71633381483053</x:v>
      </x:c>
      <x:c r="J64" s="157"/>
    </x:row>
    <x:row r="65">
      <x:c r="A65" s="157" t="str">
        <x:v>D&amp;A add-back</x:v>
      </x:c>
      <x:c r="B65" s="179" t="n">
        <x:f>B58</x:f>
        <x:v>0.6500000000000004</x:v>
      </x:c>
      <x:c r="C65" s="179" t="n">
        <x:f>C58</x:f>
        <x:v>0.7570000000000001</x:v>
      </x:c>
      <x:c r="D65" s="179" t="n">
        <x:f>D58</x:f>
        <x:v>0.831</x:v>
      </x:c>
      <x:c r="E65" s="180" t="n">
        <x:f>E58</x:f>
        <x:v>1.0835422125</x:v>
      </x:c>
      <x:c r="F65" s="180" t="n">
        <x:f>F58</x:f>
        <x:v>1.1187898670625</x:v>
      </x:c>
      <x:c r="G65" s="180" t="n">
        <x:f>G58</x:f>
        <x:v>1.1552769954290625</x:v>
      </x:c>
      <x:c r="H65" s="180" t="n">
        <x:f>H58</x:f>
        <x:v>1.1930510083911143</x:v>
      </x:c>
      <x:c r="I65" s="180" t="n">
        <x:f>I58</x:f>
        <x:v>1.232161278501913</x:v>
      </x:c>
      <x:c r="J65" s="157"/>
    </x:row>
    <x:row r="66">
      <x:c r="A66" s="157" t="str">
        <x:v>Capital spending</x:v>
      </x:c>
      <x:c r="B66" s="179" t="n">
        <x:f>B23-B45</x:f>
        <x:v>0.805</x:v>
      </x:c>
      <x:c r="C66" s="179" t="n">
        <x:f>C23-C45</x:f>
        <x:v>3.149</x:v>
      </x:c>
      <x:c r="D66" s="179" t="n">
        <x:f>D23-D45</x:f>
        <x:v>0.773</x:v>
      </x:c>
      <x:c r="E66" s="180" t="n">
        <x:f>E54*Assumptions!$F$19</x:f>
        <x:v>1.8059036875</x:v>
      </x:c>
      <x:c r="F66" s="180" t="n">
        <x:f>F54*Assumptions!$F$19</x:f>
        <x:v>1.8646497784375</x:v>
      </x:c>
      <x:c r="G66" s="180" t="n">
        <x:f>G54*Assumptions!$F$19</x:f>
        <x:v>1.9254616590484375</x:v>
      </x:c>
      <x:c r="H66" s="180" t="n">
        <x:f>H54*Assumptions!$F$19</x:f>
        <x:v>1.9884183473185237</x:v>
      </x:c>
      <x:c r="I66" s="180" t="n">
        <x:f>I54*Assumptions!$F$19</x:f>
        <x:v>2.0536021308365218</x:v>
      </x:c>
      <x:c r="J66" s="157"/>
    </x:row>
    <x:row r="67">
      <x:c r="A67" s="157" t="str">
        <x:v>Change in net working capital</x:v>
      </x:c>
      <x:c r="B67" s="179"/>
      <x:c r="C67" s="179"/>
      <x:c r="D67" s="179"/>
      <x:c r="E67" s="180" t="n">
        <x:f>(E54-D54)*Assumptions!$F$20</x:f>
        <x:v>-1.8838104999999974</x:v>
      </x:c>
      <x:c r="F67" s="180" t="n">
        <x:f>(F54-E54)*Assumptions!$F$20</x:f>
        <x:v>0.4699687274999997</x:v>
      </x:c>
      <x:c r="G67" s="180" t="n">
        <x:f>(G54-F54)*Assumptions!$F$20</x:f>
        <x:v>0.4864950448874993</x:v>
      </x:c>
      <x:c r="H67" s="180" t="n">
        <x:f>(H54-G54)*Assumptions!$F$20</x:f>
        <x:v>0.50365350616069</x:v>
      </x:c>
      <x:c r="I67" s="180" t="n">
        <x:f>(I54-H54)*Assumptions!$F$20</x:f>
        <x:v>0.5214702681439826</x:v>
      </x:c>
      <x:c r="J67" s="157"/>
    </x:row>
    <x:row r="68">
      <x:c r="A68" s="186" t="str">
        <x:v>Unlevered free cash flow</x:v>
      </x:c>
      <x:c r="B68" s="187"/>
      <x:c r="C68" s="187"/>
      <x:c r="D68" s="187"/>
      <x:c r="E68" s="188" t="n">
        <x:f>E64+E65-E66-E67</x:f>
        <x:v>25.568483615625098</x:v>
      </x:c>
      <x:c r="F68" s="188" t="n">
        <x:f>F64+F65-F66-F67</x:f>
        <x:v>34.92106620457826</x:v>
      </x:c>
      <x:c r="G68" s="188" t="n">
        <x:f>G64+G65-G66-G67</x:f>
        <x:v>47.159677114515155</x:v>
      </x:c>
      <x:c r="H68" s="188" t="n">
        <x:f>H64+H65-H66-H67</x:f>
        <x:v>59.96921951230799</x:v>
      </x:c>
      <x:c r="I68" s="188" t="n">
        <x:f>I64+I65-I66-I67</x:f>
        <x:v>73.37342269435194</x:v>
      </x:c>
      <x:c r="J68" s="157"/>
    </x:row>
    <x:row r="69">
      <x:c r="A69" s="157"/>
      <x:c r="B69" s="179"/>
      <x:c r="C69" s="179"/>
      <x:c r="D69" s="179"/>
      <x:c r="E69" s="180"/>
      <x:c r="F69" s="180"/>
      <x:c r="G69" s="180"/>
      <x:c r="H69" s="180"/>
      <x:c r="I69" s="180"/>
      <x:c r="J69" s="157"/>
    </x:row>
    <x:row r="70">
      <x:c r="A70" s="157"/>
      <x:c r="B70" s="179"/>
      <x:c r="C70" s="179"/>
      <x:c r="D70" s="179"/>
      <x:c r="E70" s="180"/>
      <x:c r="F70" s="180"/>
      <x:c r="G70" s="180"/>
      <x:c r="H70" s="180"/>
      <x:c r="I70" s="180"/>
      <x:c r="J70" s="157"/>
    </x:row>
    <x:row r="71" ht="20" customHeight="1">
      <x:c r="A71" s="14" t="str">
        <x:v>Operating driver bridge and FY2026 normalization ($mm)</x:v>
      </x:c>
      <x:c r="B71" s="67"/>
      <x:c r="C71" s="67"/>
      <x:c r="D71" s="67"/>
      <x:c r="E71" s="71"/>
      <x:c r="F71" s="71"/>
      <x:c r="G71" s="71"/>
      <x:c r="H71" s="71"/>
      <x:c r="I71" s="71"/>
      <x:c r="J71" s="157"/>
    </x:row>
    <x:row r="72">
      <x:c r="A72" s="157" t="str">
        <x:v>Regular-season ticket + in-arena base</x:v>
      </x:c>
      <x:c r="B72" s="179"/>
      <x:c r="C72" s="179"/>
      <x:c r="D72" s="179" t="n">
        <x:f>D50-Assumptions!$B$39-Assumptions!$B$38*Assumptions!$B$41</x:f>
        <x:v>233.539</x:v>
      </x:c>
      <x:c r="E72" s="180" t="n">
        <x:f>D72*(1+Assumptions!$F$8)</x:f>
        <x:v>240.54516999999998</x:v>
      </x:c>
      <x:c r="F72" s="180" t="n">
        <x:f>E72*(1+Assumptions!$F$8)</x:f>
        <x:v>247.7615251</x:v>
      </x:c>
      <x:c r="G72" s="180" t="n">
        <x:f>F72*(1+Assumptions!$F$8)</x:f>
        <x:v>255.194370853</x:v>
      </x:c>
      <x:c r="H72" s="180" t="n">
        <x:f>G72*(1+Assumptions!$F$8)</x:f>
        <x:v>262.85020197859</x:v>
      </x:c>
      <x:c r="I72" s="180" t="n">
        <x:f>H72*(1+Assumptions!$F$8)</x:f>
        <x:v>270.7357080379477</x:v>
      </x:c>
      <x:c r="J72" s="157"/>
    </x:row>
    <x:row r="73">
      <x:c r="A73" s="157" t="str">
        <x:v>Playoff event revenue</x:v>
      </x:c>
      <x:c r="B73" s="179"/>
      <x:c r="C73" s="179"/>
      <x:c r="D73" s="179" t="n">
        <x:f>D50-D72</x:f>
        <x:v>156.89300000000003</x:v>
      </x:c>
      <x:c r="E73" s="180" t="n">
        <x:f>Assumptions!$F$9*Assumptions!$F$10*(1+Assumptions!$F$8)^1</x:f>
        <x:v>41.2</x:v>
      </x:c>
      <x:c r="F73" s="180" t="n">
        <x:f>Assumptions!$F$9*Assumptions!$F$10*(1+Assumptions!$F$8)^2</x:f>
        <x:v>42.436</x:v>
      </x:c>
      <x:c r="G73" s="180" t="n">
        <x:f>Assumptions!$F$9*Assumptions!$F$10*(1+Assumptions!$F$8)^3</x:f>
        <x:v>43.70908</x:v>
      </x:c>
      <x:c r="H73" s="180" t="n">
        <x:f>Assumptions!$F$9*Assumptions!$F$10*(1+Assumptions!$F$8)^4</x:f>
        <x:v>45.02035240000001</x:v>
      </x:c>
      <x:c r="I73" s="180" t="n">
        <x:f>Assumptions!$F$9*Assumptions!$F$10*(1+Assumptions!$F$8)^5</x:f>
        <x:v>46.370962972</x:v>
      </x:c>
      <x:c r="J73" s="157"/>
    </x:row>
    <x:row r="74">
      <x:c r="A74" s="157" t="str">
        <x:v>Media-rights revenue</x:v>
      </x:c>
      <x:c r="B74" s="179"/>
      <x:c r="C74" s="179"/>
      <x:c r="D74" s="179" t="n">
        <x:f>D51</x:f>
        <x:v>234.01500000000001</x:v>
      </x:c>
      <x:c r="E74" s="180" t="n">
        <x:f>D74*(1+Assumptions!$F$11)</x:f>
        <x:v>239.865375</x:v>
      </x:c>
      <x:c r="F74" s="180" t="n">
        <x:f>E74*(1+Assumptions!$F$11)</x:f>
        <x:v>245.86200937499999</x:v>
      </x:c>
      <x:c r="G74" s="180" t="n">
        <x:f>F74*(1+Assumptions!$F$11)</x:f>
        <x:v>252.00855960937497</x:v>
      </x:c>
      <x:c r="H74" s="180" t="n">
        <x:f>G74*(1+Assumptions!$F$11)*(1+Assumptions!$F$12)</x:f>
        <x:v>258.3087735996093</x:v>
      </x:c>
      <x:c r="I74" s="180" t="n">
        <x:f>H74*(1+Assumptions!$F$11)</x:f>
        <x:v>264.7664929395995</x:v>
      </x:c>
      <x:c r="J74" s="157"/>
    </x:row>
    <x:row r="75">
      <x:c r="A75" s="157" t="str">
        <x:v>Sponsorship / signage / suites</x:v>
      </x:c>
      <x:c r="B75" s="179"/>
      <x:c r="C75" s="179"/>
      <x:c r="D75" s="179" t="n">
        <x:f>D52</x:f>
        <x:v>144.139</x:v>
      </x:c>
      <x:c r="E75" s="180" t="n">
        <x:f>D75*(1+Assumptions!$F$13)</x:f>
        <x:v>151.34595000000002</x:v>
      </x:c>
      <x:c r="F75" s="180" t="n">
        <x:f>E75*(1+Assumptions!$F$13)</x:f>
        <x:v>158.9132475</x:v>
      </x:c>
      <x:c r="G75" s="180" t="n">
        <x:f>F75*(1+Assumptions!$F$13)</x:f>
        <x:v>166.85890987500002</x:v>
      </x:c>
      <x:c r="H75" s="180" t="n">
        <x:f>G75*(1+Assumptions!$F$13)</x:f>
        <x:v>175.20185536875005</x:v>
      </x:c>
      <x:c r="I75" s="180" t="n">
        <x:f>H75*(1+Assumptions!$F$13)</x:f>
        <x:v>183.96194813718756</x:v>
      </x:c>
      <x:c r="J75" s="157"/>
    </x:row>
    <x:row r="76">
      <x:c r="A76" s="157" t="str">
        <x:v>League distributions / other</x:v>
      </x:c>
      <x:c r="B76" s="179"/>
      <x:c r="C76" s="179"/>
      <x:c r="D76" s="179" t="n">
        <x:f>D53</x:f>
        <x:v>47.965999999999994</x:v>
      </x:c>
      <x:c r="E76" s="180" t="n">
        <x:f>D76*(1+Assumptions!$F$14)</x:f>
        <x:v>49.404979999999995</x:v>
      </x:c>
      <x:c r="F76" s="180" t="n">
        <x:f>E76*(1+Assumptions!$F$14)</x:f>
        <x:v>50.8871294</x:v>
      </x:c>
      <x:c r="G76" s="180" t="n">
        <x:f>F76*(1+Assumptions!$F$14)</x:f>
        <x:v>52.413743282</x:v>
      </x:c>
      <x:c r="H76" s="180" t="n">
        <x:f>G76*(1+Assumptions!$F$14)</x:f>
        <x:v>53.98615558046</x:v>
      </x:c>
      <x:c r="I76" s="180" t="n">
        <x:f>H76*(1+Assumptions!$F$14)</x:f>
        <x:v>55.605740247873804</x:v>
      </x:c>
      <x:c r="J76" s="157"/>
    </x:row>
    <x:row r="77">
      <x:c r="A77" s="157" t="str">
        <x:v>Non-playoff direct cost base</x:v>
      </x:c>
      <x:c r="B77" s="179"/>
      <x:c r="C77" s="179"/>
      <x:c r="D77" s="179" t="n">
        <x:f>D56-Assumptions!$B$40-Assumptions!$B$38*Assumptions!$B$42</x:f>
        <x:v>476.56499999999994</x:v>
      </x:c>
      <x:c r="E77" s="180" t="n">
        <x:f>D77*(1+Assumptions!$F$15)</x:f>
        <x:v>481.33064999999993</x:v>
      </x:c>
      <x:c r="F77" s="180" t="n">
        <x:f>E77*(1+Assumptions!$F$15)</x:f>
        <x:v>486.14395649999994</x:v>
      </x:c>
      <x:c r="G77" s="180" t="n">
        <x:f>F77*(1+Assumptions!$F$15)</x:f>
        <x:v>491.00539606499996</x:v>
      </x:c>
      <x:c r="H77" s="180" t="n">
        <x:f>G77*(1+Assumptions!$F$15)</x:f>
        <x:v>495.91545002565</x:v>
      </x:c>
      <x:c r="I77" s="180" t="n">
        <x:f>H77*(1+Assumptions!$F$15)</x:f>
        <x:v>500.8746045259065</x:v>
      </x:c>
      <x:c r="J77" s="157"/>
    </x:row>
    <x:row r="78">
      <x:c r="A78" s="157" t="str">
        <x:v>Playoff expense</x:v>
      </x:c>
      <x:c r="B78" s="179"/>
      <x:c r="C78" s="179"/>
      <x:c r="D78" s="179" t="n">
        <x:f>D56-D77</x:f>
        <x:v>94.53200000000004</x:v>
      </x:c>
      <x:c r="E78" s="180" t="n">
        <x:f>Assumptions!$F$9*Assumptions!$F$16*(1+Assumptions!$F$15)^1</x:f>
        <x:v>20.2</x:v>
      </x:c>
      <x:c r="F78" s="180" t="n">
        <x:f>Assumptions!$F$9*Assumptions!$F$16*(1+Assumptions!$F$15)^2</x:f>
        <x:v>20.402</x:v>
      </x:c>
      <x:c r="G78" s="180" t="n">
        <x:f>Assumptions!$F$9*Assumptions!$F$16*(1+Assumptions!$F$15)^3</x:f>
        <x:v>20.60602</x:v>
      </x:c>
      <x:c r="H78" s="180" t="n">
        <x:f>Assumptions!$F$9*Assumptions!$F$16*(1+Assumptions!$F$15)^4</x:f>
        <x:v>20.8120802</x:v>
      </x:c>
      <x:c r="I78" s="180" t="n">
        <x:f>Assumptions!$F$9*Assumptions!$F$16*(1+Assumptions!$F$15)^5</x:f>
        <x:v>21.020201002000004</x:v>
      </x:c>
      <x:c r="J78" s="157"/>
    </x:row>
    <x:row r="79">
      <x:c r="A79" s="157" t="str">
        <x:v>SG&amp;A</x:v>
      </x:c>
      <x:c r="B79" s="179"/>
      <x:c r="C79" s="179"/>
      <x:c r="D79" s="179" t="n">
        <x:f>D57</x:f>
        <x:v>184.438</x:v>
      </x:c>
      <x:c r="E79" s="180" t="n">
        <x:f>D79*(1+Assumptions!$F$17)</x:f>
        <x:v>187.20456999999996</x:v>
      </x:c>
      <x:c r="F79" s="180" t="n">
        <x:f>E79*(1+Assumptions!$F$17)</x:f>
        <x:v>190.01263854999993</x:v>
      </x:c>
      <x:c r="G79" s="180" t="n">
        <x:f>F79*(1+Assumptions!$F$17)</x:f>
        <x:v>192.8628281282499</x:v>
      </x:c>
      <x:c r="H79" s="180" t="n">
        <x:f>G79*(1+Assumptions!$F$17)</x:f>
        <x:v>195.75577055017362</x:v>
      </x:c>
      <x:c r="I79" s="180" t="n">
        <x:f>H79*(1+Assumptions!$F$17)</x:f>
        <x:v>198.6921071084262</x:v>
      </x:c>
      <x:c r="J79" s="157"/>
    </x:row>
    <x:row r="80">
      <x:c r="A80" s="157"/>
      <x:c r="B80" s="157"/>
      <x:c r="C80" s="157"/>
      <x:c r="D80" s="157"/>
      <x:c r="E80" s="157"/>
      <x:c r="F80" s="157"/>
      <x:c r="G80" s="157"/>
      <x:c r="H80" s="157"/>
      <x:c r="I80" s="157"/>
      <x:c r="J80" s="157"/>
    </x:row>
    <x:row r="81">
      <x:c r="A81" s="157"/>
      <x:c r="B81" s="157"/>
      <x:c r="C81" s="157"/>
      <x:c r="D81" s="157"/>
      <x:c r="E81" s="157"/>
      <x:c r="F81" s="157"/>
      <x:c r="G81" s="157"/>
      <x:c r="H81" s="157"/>
      <x:c r="I81" s="157"/>
      <x:c r="J81" s="157"/>
    </x:row>
    <x:row r="82">
      <x:c r="A82" s="51" t="str">
        <x:v>Important carve-out caveat: Rangers historical results include corporate allocations and may not reflect costs the Rangers would incur as a standalone company. The Knicks residual therefore inherits allocation methodology risk. All reported values are preserved above; only the residual and forecast are calculated.</x:v>
      </x:c>
      <x:c r="B82" s="52"/>
      <x:c r="C82" s="52"/>
      <x:c r="D82" s="52"/>
      <x:c r="E82" s="52"/>
      <x:c r="F82" s="52"/>
      <x:c r="G82" s="52"/>
      <x:c r="H82" s="52"/>
      <x:c r="I82" s="53"/>
      <x:c r="J82" s="157"/>
    </x:row>
    <x:row r="83">
      <x:c r="A83" s="54"/>
      <x:c r="B83" s="55"/>
      <x:c r="C83" s="55"/>
      <x:c r="D83" s="55"/>
      <x:c r="E83" s="55"/>
      <x:c r="F83" s="55"/>
      <x:c r="G83" s="55"/>
      <x:c r="H83" s="55"/>
      <x:c r="I83" s="56"/>
      <x:c r="J83" s="157"/>
    </x:row>
    <x:row r="84">
      <x:c r="A84" s="57"/>
      <x:c r="B84" s="58"/>
      <x:c r="C84" s="58"/>
      <x:c r="D84" s="58"/>
      <x:c r="E84" s="58"/>
      <x:c r="F84" s="58"/>
      <x:c r="G84" s="58"/>
      <x:c r="H84" s="58"/>
      <x:c r="I84" s="59"/>
      <x:c r="J84" s="157"/>
    </x:row>
  </x:sheetData>
  <x:mergeCells>
    <x:mergeCell ref="A1:J1"/>
    <x:mergeCell ref="A2:J2"/>
    <x:mergeCell ref="A4:D4"/>
    <x:mergeCell ref="A26:D26"/>
    <x:mergeCell ref="A48:I48"/>
    <x:mergeCell ref="A71:I71"/>
    <x:mergeCell ref="A82:I8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30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Discounted Cash Flow Valuation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Selected-case valuation of MSG Knickerbockers Corp. Primary method: Gordon Growth. Values in $mm except per-share data.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57"/>
      <x:c r="B3" s="157"/>
      <x:c r="C3" s="157"/>
      <x:c r="D3" s="157"/>
      <x:c r="E3" s="157"/>
      <x:c r="F3" s="157"/>
      <x:c r="G3" s="157"/>
      <x:c r="H3" s="157"/>
      <x:c r="I3" s="157"/>
      <x:c r="J3" s="157"/>
    </x:row>
    <x:row r="4" ht="20" customHeight="1">
      <x:c r="A4" s="14" t="str">
        <x:v>Unlevered free cash flow valuation</x:v>
      </x:c>
      <x:c r="B4" s="14"/>
      <x:c r="C4" s="14"/>
      <x:c r="D4" s="14"/>
      <x:c r="E4" s="14"/>
      <x:c r="F4" s="14"/>
      <x:c r="G4" s="157"/>
      <x:c r="H4" s="157"/>
      <x:c r="I4" s="157"/>
      <x:c r="J4" s="157"/>
    </x:row>
    <x:row r="5">
      <x:c r="A5" s="19" t="str">
        <x:v>Line item</x:v>
      </x:c>
      <x:c r="B5" s="19" t="str">
        <x:v>FY2027E</x:v>
      </x:c>
      <x:c r="C5" s="19" t="str">
        <x:v>FY2028E</x:v>
      </x:c>
      <x:c r="D5" s="19" t="str">
        <x:v>FY2029E</x:v>
      </x:c>
      <x:c r="E5" s="19" t="str">
        <x:v>FY2030E</x:v>
      </x:c>
      <x:c r="F5" s="19" t="str">
        <x:v>FY2031E</x:v>
      </x:c>
      <x:c r="G5" s="157"/>
      <x:c r="H5" s="157"/>
      <x:c r="I5" s="157"/>
      <x:c r="J5" s="157"/>
    </x:row>
    <x:row r="6">
      <x:c r="A6" s="157" t="str">
        <x:v>EBIT</x:v>
      </x:c>
      <x:c r="B6" s="179" t="n">
        <x:f>'Operating Model'!E60</x:f>
        <x:v>32.542712787500136</x:v>
      </x:c>
      <x:c r="C6" s="179" t="n">
        <x:f>'Operating Model'!F60</x:f>
        <x:v>48.18252645793768</x:v>
      </x:c>
      <x:c r="D6" s="179" t="n">
        <x:f>'Operating Model'!G60</x:f>
        <x:v>64.55514243069604</x:v>
      </x:c>
      <x:c r="E6" s="179" t="n">
        <x:f>'Operating Model'!H60</x:f>
        <x:v>81.69098714319477</x:v>
      </x:c>
      <x:c r="F6" s="179" t="n">
        <x:f>'Operating Model'!I60</x:f>
        <x:v>99.62177841977405</x:v>
      </x:c>
      <x:c r="G6" s="157"/>
      <x:c r="H6" s="157"/>
      <x:c r="I6" s="157"/>
      <x:c r="J6" s="157"/>
    </x:row>
    <x:row r="7">
      <x:c r="A7" s="157" t="str">
        <x:v>Cash tax rate</x:v>
      </x:c>
      <x:c r="B7" s="190" t="n">
        <x:f>Assumptions!$F$21</x:f>
        <x:v>0.25</x:v>
      </x:c>
      <x:c r="C7" s="190" t="n">
        <x:f>Assumptions!$F$21</x:f>
        <x:v>0.25</x:v>
      </x:c>
      <x:c r="D7" s="190" t="n">
        <x:f>Assumptions!$F$21</x:f>
        <x:v>0.25</x:v>
      </x:c>
      <x:c r="E7" s="190" t="n">
        <x:f>Assumptions!$F$21</x:f>
        <x:v>0.25</x:v>
      </x:c>
      <x:c r="F7" s="190" t="n">
        <x:f>Assumptions!$F$21</x:f>
        <x:v>0.25</x:v>
      </x:c>
      <x:c r="G7" s="157"/>
      <x:c r="H7" s="157"/>
      <x:c r="I7" s="157"/>
      <x:c r="J7" s="157"/>
    </x:row>
    <x:row r="8">
      <x:c r="A8" s="157" t="str">
        <x:v>Cash taxes</x:v>
      </x:c>
      <x:c r="B8" s="179" t="n">
        <x:f>B6*B7</x:f>
        <x:v>8.135678196875034</x:v>
      </x:c>
      <x:c r="C8" s="179" t="n">
        <x:f>C6*C7</x:f>
        <x:v>12.04563161448442</x:v>
      </x:c>
      <x:c r="D8" s="179" t="n">
        <x:f>D6*D7</x:f>
        <x:v>16.13878560767401</x:v>
      </x:c>
      <x:c r="E8" s="179" t="n">
        <x:f>E6*E7</x:f>
        <x:v>20.422746785798694</x:v>
      </x:c>
      <x:c r="F8" s="179" t="n">
        <x:f>F6*F7</x:f>
        <x:v>24.90544460494351</x:v>
      </x:c>
      <x:c r="G8" s="157"/>
      <x:c r="H8" s="157"/>
      <x:c r="I8" s="157"/>
      <x:c r="J8" s="157"/>
    </x:row>
    <x:row r="9">
      <x:c r="A9" s="157" t="str">
        <x:v>NOPAT</x:v>
      </x:c>
      <x:c r="B9" s="179" t="n">
        <x:f>B6-B8</x:f>
        <x:v>24.407034590625102</x:v>
      </x:c>
      <x:c r="C9" s="179" t="n">
        <x:f>C6-C8</x:f>
        <x:v>36.13689484345326</x:v>
      </x:c>
      <x:c r="D9" s="179" t="n">
        <x:f>D6-D8</x:f>
        <x:v>48.41635682302203</x:v>
      </x:c>
      <x:c r="E9" s="179" t="n">
        <x:f>E6-E8</x:f>
        <x:v>61.26824035739608</x:v>
      </x:c>
      <x:c r="F9" s="179" t="n">
        <x:f>F6-F8</x:f>
        <x:v>74.71633381483053</x:v>
      </x:c>
      <x:c r="G9" s="157"/>
      <x:c r="H9" s="157"/>
      <x:c r="I9" s="157"/>
      <x:c r="J9" s="157"/>
    </x:row>
    <x:row r="10">
      <x:c r="A10" s="157" t="str">
        <x:v>D&amp;A</x:v>
      </x:c>
      <x:c r="B10" s="179" t="n">
        <x:f>'Operating Model'!E58</x:f>
        <x:v>1.0835422125</x:v>
      </x:c>
      <x:c r="C10" s="179" t="n">
        <x:f>'Operating Model'!F58</x:f>
        <x:v>1.1187898670625</x:v>
      </x:c>
      <x:c r="D10" s="179" t="n">
        <x:f>'Operating Model'!G58</x:f>
        <x:v>1.1552769954290625</x:v>
      </x:c>
      <x:c r="E10" s="179" t="n">
        <x:f>'Operating Model'!H58</x:f>
        <x:v>1.1930510083911143</x:v>
      </x:c>
      <x:c r="F10" s="179" t="n">
        <x:f>'Operating Model'!I58</x:f>
        <x:v>1.232161278501913</x:v>
      </x:c>
      <x:c r="G10" s="157"/>
      <x:c r="H10" s="157"/>
      <x:c r="I10" s="157"/>
      <x:c r="J10" s="157"/>
    </x:row>
    <x:row r="11">
      <x:c r="A11" s="157" t="str">
        <x:v>Capital spending</x:v>
      </x:c>
      <x:c r="B11" s="179" t="n">
        <x:f>'Operating Model'!E66</x:f>
        <x:v>1.8059036875</x:v>
      </x:c>
      <x:c r="C11" s="179" t="n">
        <x:f>'Operating Model'!F66</x:f>
        <x:v>1.8646497784375</x:v>
      </x:c>
      <x:c r="D11" s="179" t="n">
        <x:f>'Operating Model'!G66</x:f>
        <x:v>1.9254616590484375</x:v>
      </x:c>
      <x:c r="E11" s="179" t="n">
        <x:f>'Operating Model'!H66</x:f>
        <x:v>1.9884183473185237</x:v>
      </x:c>
      <x:c r="F11" s="179" t="n">
        <x:f>'Operating Model'!I66</x:f>
        <x:v>2.0536021308365218</x:v>
      </x:c>
      <x:c r="G11" s="157"/>
      <x:c r="H11" s="157"/>
      <x:c r="I11" s="157"/>
      <x:c r="J11" s="157"/>
    </x:row>
    <x:row r="12">
      <x:c r="A12" s="157" t="str">
        <x:v>Change in NWC</x:v>
      </x:c>
      <x:c r="B12" s="179" t="n">
        <x:f>'Operating Model'!E67</x:f>
        <x:v>-1.8838104999999974</x:v>
      </x:c>
      <x:c r="C12" s="179" t="n">
        <x:f>'Operating Model'!F67</x:f>
        <x:v>0.4699687274999997</x:v>
      </x:c>
      <x:c r="D12" s="179" t="n">
        <x:f>'Operating Model'!G67</x:f>
        <x:v>0.4864950448874993</x:v>
      </x:c>
      <x:c r="E12" s="179" t="n">
        <x:f>'Operating Model'!H67</x:f>
        <x:v>0.50365350616069</x:v>
      </x:c>
      <x:c r="F12" s="179" t="n">
        <x:f>'Operating Model'!I67</x:f>
        <x:v>0.5214702681439826</x:v>
      </x:c>
      <x:c r="G12" s="157"/>
      <x:c r="H12" s="157"/>
      <x:c r="I12" s="157"/>
      <x:c r="J12" s="157"/>
    </x:row>
    <x:row r="13">
      <x:c r="A13" s="157" t="str">
        <x:v>Unlevered free cash flow</x:v>
      </x:c>
      <x:c r="B13" s="179" t="n">
        <x:f>B9+B10-B11-B12</x:f>
        <x:v>25.568483615625098</x:v>
      </x:c>
      <x:c r="C13" s="179" t="n">
        <x:f>C9+C10-C11-C12</x:f>
        <x:v>34.92106620457826</x:v>
      </x:c>
      <x:c r="D13" s="179" t="n">
        <x:f>D9+D10-D11-D12</x:f>
        <x:v>47.159677114515155</x:v>
      </x:c>
      <x:c r="E13" s="179" t="n">
        <x:f>E9+E10-E11-E12</x:f>
        <x:v>59.96921951230799</x:v>
      </x:c>
      <x:c r="F13" s="179" t="n">
        <x:f>F9+F10-F11-F12</x:f>
        <x:v>73.37342269435194</x:v>
      </x:c>
      <x:c r="G13" s="157"/>
      <x:c r="H13" s="157"/>
      <x:c r="I13" s="157"/>
      <x:c r="J13" s="157"/>
    </x:row>
    <x:row r="14">
      <x:c r="A14" s="157" t="str">
        <x:v>Discount period</x:v>
      </x:c>
      <x:c r="B14" s="191" t="n">
        <x:v>1</x:v>
      </x:c>
      <x:c r="C14" s="191" t="n">
        <x:v>2</x:v>
      </x:c>
      <x:c r="D14" s="191" t="n">
        <x:v>3</x:v>
      </x:c>
      <x:c r="E14" s="191" t="n">
        <x:v>4</x:v>
      </x:c>
      <x:c r="F14" s="191" t="n">
        <x:v>5</x:v>
      </x:c>
      <x:c r="G14" s="157"/>
      <x:c r="H14" s="157"/>
      <x:c r="I14" s="157"/>
      <x:c r="J14" s="157"/>
    </x:row>
    <x:row r="15">
      <x:c r="A15" s="157" t="str">
        <x:v>Discount factor</x:v>
      </x:c>
      <x:c r="B15" s="192" t="n">
        <x:f>1/(1+Assumptions!$B$37)^B14</x:f>
        <x:v>0.9166060369965111</x:v>
      </x:c>
      <x:c r="C15" s="192" t="n">
        <x:f>1/(1+Assumptions!$B$37)^C14</x:f>
        <x:v>0.8401666270584497</x:v>
      </x:c>
      <x:c r="D15" s="192" t="n">
        <x:f>1/(1+Assumptions!$B$37)^D14</x:f>
        <x:v>0.7701018024447712</x:v>
      </x:c>
      <x:c r="E15" s="192" t="n">
        <x:f>1/(1+Assumptions!$B$37)^E14</x:f>
        <x:v>0.7058799612227719</x:v>
      </x:c>
      <x:c r="F15" s="192" t="n">
        <x:f>1/(1+Assumptions!$B$37)^F14</x:f>
        <x:v>0.647013833851656</x:v>
      </x:c>
      <x:c r="G15" s="157"/>
      <x:c r="H15" s="157"/>
      <x:c r="I15" s="157"/>
      <x:c r="J15" s="157"/>
    </x:row>
    <x:row r="16">
      <x:c r="A16" s="157" t="str">
        <x:v>Present value of UFCF</x:v>
      </x:c>
      <x:c r="B16" s="179" t="n">
        <x:f>B13*B15</x:f>
        <x:v>23.436226438928347</x:v>
      </x:c>
      <x:c r="C16" s="179" t="n">
        <x:f>C13*C15</x:f>
        <x:v>29.339514406385334</x:v>
      </x:c>
      <x:c r="D16" s="179" t="n">
        <x:f>D13*D15</x:f>
        <x:v>36.31775234860155</x:v>
      </x:c>
      <x:c r="E16" s="179" t="n">
        <x:f>E13*E15</x:f>
        <x:v>42.331070343907854</x:v>
      </x:c>
      <x:c r="F16" s="179" t="n">
        <x:f>F13*F15</x:f>
        <x:v>47.473619520290754</x:v>
      </x:c>
      <x:c r="G16" s="157"/>
      <x:c r="H16" s="157"/>
      <x:c r="I16" s="157"/>
      <x:c r="J16" s="157"/>
    </x:row>
    <x:row r="17">
      <x:c r="A17" s="157"/>
      <x:c r="B17" s="157"/>
      <x:c r="C17" s="157"/>
      <x:c r="D17" s="157"/>
      <x:c r="E17" s="157"/>
      <x:c r="F17" s="157"/>
      <x:c r="G17" s="157"/>
      <x:c r="H17" s="157"/>
      <x:c r="I17" s="157"/>
      <x:c r="J17" s="157"/>
    </x:row>
    <x:row r="18">
      <x:c r="A18" s="157"/>
      <x:c r="B18" s="157"/>
      <x:c r="C18" s="157"/>
      <x:c r="D18" s="157"/>
      <x:c r="E18" s="157"/>
      <x:c r="F18" s="157"/>
      <x:c r="G18" s="157"/>
      <x:c r="H18" s="157"/>
      <x:c r="I18" s="157"/>
      <x:c r="J18" s="157"/>
    </x:row>
    <x:row r="19" ht="20" customHeight="1">
      <x:c r="A19" s="14" t="str">
        <x:v>Terminal value and equity bridge</x:v>
      </x:c>
      <x:c r="B19" s="14"/>
      <x:c r="C19" s="14"/>
      <x:c r="D19" s="157"/>
      <x:c r="E19" s="14" t="str">
        <x:v>Public-company cross-check</x:v>
      </x:c>
      <x:c r="F19" s="14"/>
      <x:c r="G19" s="14"/>
      <x:c r="H19" s="14"/>
      <x:c r="I19" s="157"/>
      <x:c r="J19" s="157"/>
    </x:row>
    <x:row r="20">
      <x:c r="A20" s="157" t="str">
        <x:v>Selected WACC</x:v>
      </x:c>
      <x:c r="B20" s="176" t="n">
        <x:f>Assumptions!$B$37</x:f>
        <x:v>0.09098125</x:v>
      </x:c>
      <x:c r="C20" s="157"/>
      <x:c r="D20" s="157"/>
      <x:c r="E20" s="19" t="str">
        <x:v>Peer</x:v>
      </x:c>
      <x:c r="F20" s="19" t="str">
        <x:v>EV / Revenue</x:v>
      </x:c>
      <x:c r="G20" s="19" t="str">
        <x:v>Reference period</x:v>
      </x:c>
      <x:c r="H20" s="19" t="str">
        <x:v>Source</x:v>
      </x:c>
      <x:c r="I20" s="157"/>
      <x:c r="J20" s="157"/>
    </x:row>
    <x:row r="21">
      <x:c r="A21" s="157" t="str">
        <x:v>Terminal growth</x:v>
      </x:c>
      <x:c r="B21" s="176" t="n">
        <x:f>Assumptions!$F$23</x:f>
        <x:v>0.025</x:v>
      </x:c>
      <x:c r="C21" s="157"/>
      <x:c r="D21" s="157"/>
      <x:c r="E21" s="157" t="str">
        <x:v>Manchester United (MANU)</x:v>
      </x:c>
      <x:c r="F21" s="175" t="n">
        <x:v>4.83</x:v>
      </x:c>
      <x:c r="G21" s="157" t="str">
        <x:v>2026-10</x:v>
      </x:c>
      <x:c r="H21" s="157" t="str">
        <x:v>Yahoo Finance</x:v>
      </x:c>
      <x:c r="I21" s="157"/>
      <x:c r="J21" s="157"/>
    </x:row>
    <x:row r="22">
      <x:c r="A22" s="157" t="str">
        <x:v>FY2031 UFCF</x:v>
      </x:c>
      <x:c r="B22" s="159" t="n">
        <x:f>F13</x:f>
        <x:v>73.37342269435194</x:v>
      </x:c>
      <x:c r="C22" s="157"/>
      <x:c r="D22" s="157"/>
      <x:c r="E22" s="157" t="str">
        <x:v>Atlanta Braves Holdings (BATRA)</x:v>
      </x:c>
      <x:c r="F22" s="175" t="n">
        <x:v>3.51</x:v>
      </x:c>
      <x:c r="G22" s="157" t="str">
        <x:v>2026-10</x:v>
      </x:c>
      <x:c r="H22" s="157" t="str">
        <x:v>PortfolioLab</x:v>
      </x:c>
      <x:c r="I22" s="157"/>
      <x:c r="J22" s="157"/>
    </x:row>
    <x:row r="23">
      <x:c r="A23" s="157" t="str">
        <x:v>Terminal value</x:v>
      </x:c>
      <x:c r="B23" s="159" t="n">
        <x:f>B22*(1+B21)/(B20-B21)</x:f>
        <x:v>1139.8353056619985</x:v>
      </x:c>
      <x:c r="C23" s="157"/>
      <x:c r="D23" s="157"/>
      <x:c r="E23" s="157"/>
      <x:c r="F23" s="157"/>
      <x:c r="G23" s="157"/>
      <x:c r="H23" s="157"/>
      <x:c r="I23" s="157"/>
      <x:c r="J23" s="157"/>
    </x:row>
    <x:row r="24">
      <x:c r="A24" s="157" t="str">
        <x:v>PV of terminal value</x:v>
      </x:c>
      <x:c r="B24" s="159" t="n">
        <x:f>B23*F15</x:f>
        <x:v>737.4892110758439</x:v>
      </x:c>
      <x:c r="C24" s="157"/>
      <x:c r="D24" s="157"/>
      <x:c r="E24" s="157" t="str">
        <x:v>Median peer EV / Revenue</x:v>
      </x:c>
      <x:c r="F24" s="193" t="n">
        <x:f>MEDIAN(F21:F22)</x:f>
        <x:v>4.17</x:v>
      </x:c>
      <x:c r="G24" s="157"/>
      <x:c r="H24" s="157"/>
      <x:c r="I24" s="157"/>
      <x:c r="J24" s="157"/>
    </x:row>
    <x:row r="25">
      <x:c r="A25" s="157" t="str">
        <x:v>PV of forecast UFCF</x:v>
      </x:c>
      <x:c r="B25" s="159" t="n">
        <x:f>SUM(B16:F16)</x:f>
        <x:v>178.89818305811383</x:v>
      </x:c>
      <x:c r="C25" s="157"/>
      <x:c r="D25" s="157"/>
      <x:c r="E25" s="157" t="str">
        <x:v>FY2027E selected revenue</x:v>
      </x:c>
      <x:c r="F25" s="159" t="n">
        <x:f>'Operating Model'!E54</x:f>
        <x:v>722.361475</x:v>
      </x:c>
      <x:c r="G25" s="157"/>
      <x:c r="H25" s="157"/>
      <x:c r="I25" s="157"/>
      <x:c r="J25" s="157"/>
    </x:row>
    <x:row r="26">
      <x:c r="A26" s="186" t="str">
        <x:v>Enterprise value</x:v>
      </x:c>
      <x:c r="B26" s="194" t="n">
        <x:f>B24+B25</x:f>
        <x:v>916.3873941339577</x:v>
      </x:c>
      <x:c r="C26" s="157"/>
      <x:c r="D26" s="157"/>
      <x:c r="E26" s="157" t="str">
        <x:v>Implied enterprise value</x:v>
      </x:c>
      <x:c r="F26" s="159" t="n">
        <x:f>F24*F25</x:f>
        <x:v>3012.24735075</x:v>
      </x:c>
      <x:c r="G26" s="157"/>
      <x:c r="H26" s="157"/>
      <x:c r="I26" s="157"/>
      <x:c r="J26" s="157"/>
    </x:row>
    <x:row r="27">
      <x:c r="A27" s="157" t="str">
        <x:v>Post-spin cash</x:v>
      </x:c>
      <x:c r="B27" s="178" t="n">
        <x:v>184.351</x:v>
      </x:c>
      <x:c r="C27" s="157"/>
      <x:c r="D27" s="157"/>
      <x:c r="E27" s="157" t="str">
        <x:v>Implied equity value</x:v>
      </x:c>
      <x:c r="F27" s="159" t="n">
        <x:f>MAX(0,F26-B29)</x:f>
        <x:v>2934.59835075</x:v>
      </x:c>
      <x:c r="G27" s="157"/>
      <x:c r="H27" s="157"/>
      <x:c r="I27" s="157"/>
      <x:c r="J27" s="157"/>
    </x:row>
    <x:row r="28">
      <x:c r="A28" s="157" t="str">
        <x:v>Post-spin debt</x:v>
      </x:c>
      <x:c r="B28" s="178" t="n">
        <x:v>262</x:v>
      </x:c>
      <x:c r="C28" s="157"/>
      <x:c r="D28" s="157"/>
      <x:c r="E28" s="157" t="str">
        <x:v>Implied value per share</x:v>
      </x:c>
      <x:c r="F28" s="165" t="n">
        <x:f>F27/B31</x:f>
        <x:v>121.20929952294412</x:v>
      </x:c>
      <x:c r="G28" s="157"/>
      <x:c r="H28" s="157"/>
      <x:c r="I28" s="157"/>
      <x:c r="J28" s="157"/>
    </x:row>
    <x:row r="29">
      <x:c r="A29" s="157" t="str">
        <x:v>Net debt</x:v>
      </x:c>
      <x:c r="B29" s="159" t="n">
        <x:f>B28-B27</x:f>
        <x:v>77.649</x:v>
      </x:c>
      <x:c r="C29" s="157"/>
      <x:c r="D29" s="157"/>
      <x:c r="E29" s="157"/>
      <x:c r="F29" s="157"/>
      <x:c r="G29" s="157"/>
      <x:c r="H29" s="157"/>
      <x:c r="I29" s="157"/>
      <x:c r="J29" s="157"/>
    </x:row>
    <x:row r="30">
      <x:c r="A30" s="160" t="str">
        <x:v>Equity value</x:v>
      </x:c>
      <x:c r="B30" s="195" t="n">
        <x:f>MAX(0,B26-B29)</x:f>
        <x:v>838.7383941339577</x:v>
      </x:c>
      <x:c r="C30" s="157"/>
      <x:c r="D30" s="157"/>
      <x:c r="E30" s="51" t="str">
        <x:v>Cross-check only. Public sports companies differ in league economics, venue exposure, ownership structure, liquidity and control. The model does not treat media reports or franchise estimates as audited valuation evidence.</x:v>
      </x:c>
      <x:c r="F30" s="52"/>
      <x:c r="G30" s="52"/>
      <x:c r="H30" s="53"/>
      <x:c r="I30" s="157"/>
      <x:c r="J30" s="157"/>
    </x:row>
    <x:row r="31">
      <x:c r="A31" s="160" t="str">
        <x:v>Diluted shares (mm)</x:v>
      </x:c>
      <x:c r="B31" s="196" t="n">
        <x:v>24.211</x:v>
      </x:c>
      <x:c r="C31" s="157"/>
      <x:c r="D31" s="157"/>
      <x:c r="E31" s="54"/>
      <x:c r="F31" s="55"/>
      <x:c r="G31" s="55"/>
      <x:c r="H31" s="56"/>
      <x:c r="I31" s="157"/>
      <x:c r="J31" s="157"/>
    </x:row>
    <x:row r="32">
      <x:c r="A32" s="160" t="str">
        <x:v>Implied value per share</x:v>
      </x:c>
      <x:c r="B32" s="197" t="n">
        <x:f>B30/B31</x:f>
        <x:v>34.64286457122621</x:v>
      </x:c>
      <x:c r="C32" s="157"/>
      <x:c r="D32" s="157"/>
      <x:c r="E32" s="54"/>
      <x:c r="F32" s="55"/>
      <x:c r="G32" s="55"/>
      <x:c r="H32" s="56"/>
      <x:c r="I32" s="157"/>
      <x:c r="J32" s="157"/>
    </x:row>
    <x:row r="33">
      <x:c r="A33" s="157"/>
      <x:c r="B33" s="157"/>
      <x:c r="C33" s="157"/>
      <x:c r="D33" s="157"/>
      <x:c r="E33" s="57"/>
      <x:c r="F33" s="58"/>
      <x:c r="G33" s="58"/>
      <x:c r="H33" s="59"/>
      <x:c r="I33" s="157"/>
      <x:c r="J33" s="157"/>
    </x:row>
  </x:sheetData>
  <x:mergeCells>
    <x:mergeCell ref="A1:J1"/>
    <x:mergeCell ref="A2:J2"/>
    <x:mergeCell ref="A4:F4"/>
    <x:mergeCell ref="A19:C19"/>
    <x:mergeCell ref="E19:H19"/>
    <x:mergeCell ref="E30:H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0" customHeight="1">
      <x:c r="A1" s="3" t="str">
        <x:v>Sensitivity and Scenario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157"/>
    </x:row>
    <x:row r="2" ht="28" customHeight="1">
      <x:c r="A2" s="7" t="str">
        <x:v>Formula-based sensitivity matrices and full downside/base/upside scenario engines. Values per share unless noted.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157"/>
    </x:row>
    <x:row r="3">
      <x:c r="A3" s="157"/>
      <x:c r="B3" s="157"/>
      <x:c r="C3" s="157"/>
      <x:c r="D3" s="157"/>
      <x:c r="E3" s="157"/>
      <x:c r="F3" s="157"/>
      <x:c r="G3" s="157"/>
      <x:c r="H3" s="157"/>
      <x:c r="I3" s="157"/>
      <x:c r="J3" s="157"/>
      <x:c r="K3" s="157"/>
      <x:c r="L3" s="157"/>
      <x:c r="M3" s="157"/>
      <x:c r="N3" s="157"/>
      <x:c r="O3" s="157"/>
      <x:c r="P3" s="157"/>
      <x:c r="Q3" s="157"/>
      <x:c r="R3" s="157"/>
      <x:c r="S3" s="157"/>
    </x:row>
    <x:row r="4" ht="20" customHeight="1">
      <x:c r="A4" s="14" t="str">
        <x:v>WACC versus terminal growth ($ per share)</x:v>
      </x:c>
      <x:c r="B4" s="14"/>
      <x:c r="C4" s="14"/>
      <x:c r="D4" s="14"/>
      <x:c r="E4" s="14"/>
      <x:c r="F4" s="14"/>
      <x:c r="G4" s="14"/>
      <x:c r="H4" s="14" t="str">
        <x:v>Playoff games versus event revenue ($ per share)</x:v>
      </x:c>
      <x:c r="I4" s="14"/>
      <x:c r="J4" s="14"/>
      <x:c r="K4" s="14"/>
      <x:c r="L4" s="14"/>
      <x:c r="M4" s="14"/>
      <x:c r="N4" s="14"/>
      <x:c r="O4" s="157"/>
      <x:c r="P4" s="157"/>
      <x:c r="Q4" s="157"/>
      <x:c r="R4" s="157"/>
      <x:c r="S4" s="157"/>
    </x:row>
    <x:row r="5">
      <x:c r="A5" s="19" t="str">
        <x:v>WACC / Terminal growth</x:v>
      </x:c>
      <x:c r="B5" s="104" t="n">
        <x:v>0.015</x:v>
      </x:c>
      <x:c r="C5" s="104" t="n">
        <x:v>0.02</x:v>
      </x:c>
      <x:c r="D5" s="104" t="n">
        <x:v>0.025</x:v>
      </x:c>
      <x:c r="E5" s="104" t="n">
        <x:v>0.03</x:v>
      </x:c>
      <x:c r="F5" s="104" t="n">
        <x:v>0.035</x:v>
      </x:c>
      <x:c r="G5" s="157"/>
      <x:c r="H5" s="19" t="str">
        <x:v>Home games / Revenue per game</x:v>
      </x:c>
      <x:c r="I5" s="108" t="n">
        <x:v>8</x:v>
      </x:c>
      <x:c r="J5" s="108" t="n">
        <x:v>10</x:v>
      </x:c>
      <x:c r="K5" s="108" t="n">
        <x:v>12</x:v>
      </x:c>
      <x:c r="L5" s="157"/>
      <x:c r="M5" s="157"/>
      <x:c r="N5" s="157"/>
      <x:c r="O5" s="157"/>
      <x:c r="P5" s="157"/>
      <x:c r="Q5" s="157"/>
      <x:c r="R5" s="157"/>
      <x:c r="S5" s="157"/>
    </x:row>
    <x:row r="6">
      <x:c r="A6" s="176" t="n">
        <x:v>0.08</x:v>
      </x:c>
      <x:c r="B6" s="165" t="n">
        <x:f>MAX(0,(SUMPRODUCT(DCF!$B$13:$F$13,1/(1+$A6)^DCF!$B$14:$F$14)+DCF!$F$13*(1+B$5)/($A6-B$5)/(1+$A6)^5-DCF!$B$29)/DCF!$B$31)</x:f>
        <x:v>36.64443980876082</x:v>
      </x:c>
      <x:c r="C6" s="165" t="n">
        <x:f>MAX(0,(SUMPRODUCT(DCF!$B$13:$F$13,1/(1+$A6)^DCF!$B$14:$F$14)+DCF!$F$13*(1+C$5)/($A6-C$5)/(1+$A6)^5-DCF!$B$29)/DCF!$B$31)</x:f>
        <x:v>39.500296602091765</x:v>
      </x:c>
      <x:c r="D6" s="165" t="n">
        <x:f>MAX(0,(SUMPRODUCT(DCF!$B$13:$F$13,1/(1+$A6)^DCF!$B$14:$F$14)+DCF!$F$13*(1+D$5)/($A6-D$5)/(1+$A6)^5-DCF!$B$29)/DCF!$B$31)</x:f>
        <x:v>42.87540008511923</x:v>
      </x:c>
      <x:c r="E6" s="165" t="n">
        <x:f>MAX(0,(SUMPRODUCT(DCF!$B$13:$F$13,1/(1+$A6)^DCF!$B$14:$F$14)+DCF!$F$13*(1+E$5)/($A6-E$5)/(1+$A6)^5-DCF!$B$29)/DCF!$B$31)</x:f>
        <x:v>46.92552426475219</x:v>
      </x:c>
      <x:c r="F6" s="165" t="n">
        <x:f>MAX(0,(SUMPRODUCT(DCF!$B$13:$F$13,1/(1+$A6)^DCF!$B$14:$F$14)+DCF!$F$13*(1+F$5)/($A6-F$5)/(1+$A6)^5-DCF!$B$29)/DCF!$B$31)</x:f>
        <x:v>51.875676039859144</x:v>
      </x:c>
      <x:c r="G6" s="157"/>
      <x:c r="H6" s="199" t="n">
        <x:v>0</x:v>
      </x:c>
      <x:c r="I6" s="165" t="n">
        <x:f>MAX(0,(DCF!$B$26+(((($H6*I$5-Assumptions!$F$9*Assumptions!$F$10)*(1+Assumptions!$F$8)^1)-(($H6-Assumptions!$F$9)*Assumptions!$F$16*(1+Assumptions!$F$15)^1))*(1-Assumptions!$F$21)-(($H6*I$5-Assumptions!$F$9*Assumptions!$F$10)*(1+Assumptions!$F$8)^1)*Assumptions!$F$19-((($H6*I$5-Assumptions!$F$9*Assumptions!$F$10)*(1+Assumptions!$F$8)^1)-0)*Assumptions!$F$20)/(1+Assumptions!$B$37)^1+(((($H6*I$5-Assumptions!$F$9*Assumptions!$F$10)*(1+Assumptions!$F$8)^2)-(($H6-Assumptions!$F$9)*Assumptions!$F$16*(1+Assumptions!$F$15)^2))*(1-Assumptions!$F$21)-(($H6*I$5-Assumptions!$F$9*Assumptions!$F$10)*(1+Assumptions!$F$8)^2)*Assumptions!$F$19-((($H6*I$5-Assumptions!$F$9*Assumptions!$F$10)*(1+Assumptions!$F$8)^2)-(($H6*I$5-Assumptions!$F$9*Assumptions!$F$10)*(1+Assumptions!$F$8)^1))*Assumptions!$F$20)/(1+Assumptions!$B$37)^2+(((($H6*I$5-Assumptions!$F$9*Assumptions!$F$10)*(1+Assumptions!$F$8)^3)-(($H6-Assumptions!$F$9)*Assumptions!$F$16*(1+Assumptions!$F$15)^3))*(1-Assumptions!$F$21)-(($H6*I$5-Assumptions!$F$9*Assumptions!$F$10)*(1+Assumptions!$F$8)^3)*Assumptions!$F$19-((($H6*I$5-Assumptions!$F$9*Assumptions!$F$10)*(1+Assumptions!$F$8)^3)-(($H6*I$5-Assumptions!$F$9*Assumptions!$F$10)*(1+Assumptions!$F$8)^2))*Assumptions!$F$20)/(1+Assumptions!$B$37)^3+(((($H6*I$5-Assumptions!$F$9*Assumptions!$F$10)*(1+Assumptions!$F$8)^4)-(($H6-Assumptions!$F$9)*Assumptions!$F$16*(1+Assumptions!$F$15)^4))*(1-Assumptions!$F$21)-(($H6*I$5-Assumptions!$F$9*Assumptions!$F$10)*(1+Assumptions!$F$8)^4)*Assumptions!$F$19-((($H6*I$5-Assumptions!$F$9*Assumptions!$F$10)*(1+Assumptions!$F$8)^4)-(($H6*I$5-Assumptions!$F$9*Assumptions!$F$10)*(1+Assumptions!$F$8)^3))*Assumptions!$F$20)/(1+Assumptions!$B$37)^4+(((($H6*I$5-Assumptions!$F$9*Assumptions!$F$10)*(1+Assumptions!$F$8)^5)-(($H6-Assumptions!$F$9)*Assumptions!$F$16*(1+Assumptions!$F$15)^5))*(1-Assumptions!$F$21)-(($H6*I$5-Assumptions!$F$9*Assumptions!$F$10)*(1+Assumptions!$F$8)^5)*Assumptions!$F$19-((($H6*I$5-Assumptions!$F$9*Assumptions!$F$10)*(1+Assumptions!$F$8)^5)-(($H6*I$5-Assumptions!$F$9*Assumptions!$F$10)*(1+Assumptions!$F$8)^4))*Assumptions!$F$20)/(1+Assumptions!$B$37)^5+((((($H6*I$5-Assumptions!$F$9*Assumptions!$F$10)*(1+Assumptions!$F$8)^5)-(($H6-Assumptions!$F$9)*Assumptions!$F$16*(1+Assumptions!$F$15)^5))*(1-Assumptions!$F$21)-(($H6*I$5-Assumptions!$F$9*Assumptions!$F$10)*(1+Assumptions!$F$8)^5)*Assumptions!$F$19-((($H6*I$5-Assumptions!$F$9*Assumptions!$F$10)*(1+Assumptions!$F$8)^5)-(($H6*I$5-Assumptions!$F$9*Assumptions!$F$10)*(1+Assumptions!$F$8)^4))*Assumptions!$F$20)*(1+Assumptions!$F$23)/(Assumptions!$B$37-Assumptions!$F$23))/(1+Assumptions!$B$37)^5-DCF!$B$29)/DCF!$B$31)</x:f>
        <x:v>24.10238522783389</x:v>
      </x:c>
      <x:c r="J6" s="165" t="n">
        <x:f>MAX(0,(DCF!$B$26+(((($H6*J$5-Assumptions!$F$9*Assumptions!$F$10)*(1+Assumptions!$F$8)^1)-(($H6-Assumptions!$F$9)*Assumptions!$F$16*(1+Assumptions!$F$15)^1))*(1-Assumptions!$F$21)-(($H6*J$5-Assumptions!$F$9*Assumptions!$F$10)*(1+Assumptions!$F$8)^1)*Assumptions!$F$19-((($H6*J$5-Assumptions!$F$9*Assumptions!$F$10)*(1+Assumptions!$F$8)^1)-0)*Assumptions!$F$20)/(1+Assumptions!$B$37)^1+(((($H6*J$5-Assumptions!$F$9*Assumptions!$F$10)*(1+Assumptions!$F$8)^2)-(($H6-Assumptions!$F$9)*Assumptions!$F$16*(1+Assumptions!$F$15)^2))*(1-Assumptions!$F$21)-(($H6*J$5-Assumptions!$F$9*Assumptions!$F$10)*(1+Assumptions!$F$8)^2)*Assumptions!$F$19-((($H6*J$5-Assumptions!$F$9*Assumptions!$F$10)*(1+Assumptions!$F$8)^2)-(($H6*J$5-Assumptions!$F$9*Assumptions!$F$10)*(1+Assumptions!$F$8)^1))*Assumptions!$F$20)/(1+Assumptions!$B$37)^2+(((($H6*J$5-Assumptions!$F$9*Assumptions!$F$10)*(1+Assumptions!$F$8)^3)-(($H6-Assumptions!$F$9)*Assumptions!$F$16*(1+Assumptions!$F$15)^3))*(1-Assumptions!$F$21)-(($H6*J$5-Assumptions!$F$9*Assumptions!$F$10)*(1+Assumptions!$F$8)^3)*Assumptions!$F$19-((($H6*J$5-Assumptions!$F$9*Assumptions!$F$10)*(1+Assumptions!$F$8)^3)-(($H6*J$5-Assumptions!$F$9*Assumptions!$F$10)*(1+Assumptions!$F$8)^2))*Assumptions!$F$20)/(1+Assumptions!$B$37)^3+(((($H6*J$5-Assumptions!$F$9*Assumptions!$F$10)*(1+Assumptions!$F$8)^4)-(($H6-Assumptions!$F$9)*Assumptions!$F$16*(1+Assumptions!$F$15)^4))*(1-Assumptions!$F$21)-(($H6*J$5-Assumptions!$F$9*Assumptions!$F$10)*(1+Assumptions!$F$8)^4)*Assumptions!$F$19-((($H6*J$5-Assumptions!$F$9*Assumptions!$F$10)*(1+Assumptions!$F$8)^4)-(($H6*J$5-Assumptions!$F$9*Assumptions!$F$10)*(1+Assumptions!$F$8)^3))*Assumptions!$F$20)/(1+Assumptions!$B$37)^4+(((($H6*J$5-Assumptions!$F$9*Assumptions!$F$10)*(1+Assumptions!$F$8)^5)-(($H6-Assumptions!$F$9)*Assumptions!$F$16*(1+Assumptions!$F$15)^5))*(1-Assumptions!$F$21)-(($H6*J$5-Assumptions!$F$9*Assumptions!$F$10)*(1+Assumptions!$F$8)^5)*Assumptions!$F$19-((($H6*J$5-Assumptions!$F$9*Assumptions!$F$10)*(1+Assumptions!$F$8)^5)-(($H6*J$5-Assumptions!$F$9*Assumptions!$F$10)*(1+Assumptions!$F$8)^4))*Assumptions!$F$20)/(1+Assumptions!$B$37)^5+((((($H6*J$5-Assumptions!$F$9*Assumptions!$F$10)*(1+Assumptions!$F$8)^5)-(($H6-Assumptions!$F$9)*Assumptions!$F$16*(1+Assumptions!$F$15)^5))*(1-Assumptions!$F$21)-(($H6*J$5-Assumptions!$F$9*Assumptions!$F$10)*(1+Assumptions!$F$8)^5)*Assumptions!$F$19-((($H6*J$5-Assumptions!$F$9*Assumptions!$F$10)*(1+Assumptions!$F$8)^5)-(($H6*J$5-Assumptions!$F$9*Assumptions!$F$10)*(1+Assumptions!$F$8)^4))*Assumptions!$F$20)*(1+Assumptions!$F$23)/(Assumptions!$B$37-Assumptions!$F$23))/(1+Assumptions!$B$37)^5-DCF!$B$29)/DCF!$B$31)</x:f>
        <x:v>24.10238522783389</x:v>
      </x:c>
      <x:c r="K6" s="165" t="n">
        <x:f>MAX(0,(DCF!$B$26+(((($H6*K$5-Assumptions!$F$9*Assumptions!$F$10)*(1+Assumptions!$F$8)^1)-(($H6-Assumptions!$F$9)*Assumptions!$F$16*(1+Assumptions!$F$15)^1))*(1-Assumptions!$F$21)-(($H6*K$5-Assumptions!$F$9*Assumptions!$F$10)*(1+Assumptions!$F$8)^1)*Assumptions!$F$19-((($H6*K$5-Assumptions!$F$9*Assumptions!$F$10)*(1+Assumptions!$F$8)^1)-0)*Assumptions!$F$20)/(1+Assumptions!$B$37)^1+(((($H6*K$5-Assumptions!$F$9*Assumptions!$F$10)*(1+Assumptions!$F$8)^2)-(($H6-Assumptions!$F$9)*Assumptions!$F$16*(1+Assumptions!$F$15)^2))*(1-Assumptions!$F$21)-(($H6*K$5-Assumptions!$F$9*Assumptions!$F$10)*(1+Assumptions!$F$8)^2)*Assumptions!$F$19-((($H6*K$5-Assumptions!$F$9*Assumptions!$F$10)*(1+Assumptions!$F$8)^2)-(($H6*K$5-Assumptions!$F$9*Assumptions!$F$10)*(1+Assumptions!$F$8)^1))*Assumptions!$F$20)/(1+Assumptions!$B$37)^2+(((($H6*K$5-Assumptions!$F$9*Assumptions!$F$10)*(1+Assumptions!$F$8)^3)-(($H6-Assumptions!$F$9)*Assumptions!$F$16*(1+Assumptions!$F$15)^3))*(1-Assumptions!$F$21)-(($H6*K$5-Assumptions!$F$9*Assumptions!$F$10)*(1+Assumptions!$F$8)^3)*Assumptions!$F$19-((($H6*K$5-Assumptions!$F$9*Assumptions!$F$10)*(1+Assumptions!$F$8)^3)-(($H6*K$5-Assumptions!$F$9*Assumptions!$F$10)*(1+Assumptions!$F$8)^2))*Assumptions!$F$20)/(1+Assumptions!$B$37)^3+(((($H6*K$5-Assumptions!$F$9*Assumptions!$F$10)*(1+Assumptions!$F$8)^4)-(($H6-Assumptions!$F$9)*Assumptions!$F$16*(1+Assumptions!$F$15)^4))*(1-Assumptions!$F$21)-(($H6*K$5-Assumptions!$F$9*Assumptions!$F$10)*(1+Assumptions!$F$8)^4)*Assumptions!$F$19-((($H6*K$5-Assumptions!$F$9*Assumptions!$F$10)*(1+Assumptions!$F$8)^4)-(($H6*K$5-Assumptions!$F$9*Assumptions!$F$10)*(1+Assumptions!$F$8)^3))*Assumptions!$F$20)/(1+Assumptions!$B$37)^4+(((($H6*K$5-Assumptions!$F$9*Assumptions!$F$10)*(1+Assumptions!$F$8)^5)-(($H6-Assumptions!$F$9)*Assumptions!$F$16*(1+Assumptions!$F$15)^5))*(1-Assumptions!$F$21)-(($H6*K$5-Assumptions!$F$9*Assumptions!$F$10)*(1+Assumptions!$F$8)^5)*Assumptions!$F$19-((($H6*K$5-Assumptions!$F$9*Assumptions!$F$10)*(1+Assumptions!$F$8)^5)-(($H6*K$5-Assumptions!$F$9*Assumptions!$F$10)*(1+Assumptions!$F$8)^4))*Assumptions!$F$20)/(1+Assumptions!$B$37)^5+((((($H6*K$5-Assumptions!$F$9*Assumptions!$F$10)*(1+Assumptions!$F$8)^5)-(($H6-Assumptions!$F$9)*Assumptions!$F$16*(1+Assumptions!$F$15)^5))*(1-Assumptions!$F$21)-(($H6*K$5-Assumptions!$F$9*Assumptions!$F$10)*(1+Assumptions!$F$8)^5)*Assumptions!$F$19-((($H6*K$5-Assumptions!$F$9*Assumptions!$F$10)*(1+Assumptions!$F$8)^5)-(($H6*K$5-Assumptions!$F$9*Assumptions!$F$10)*(1+Assumptions!$F$8)^4))*Assumptions!$F$20)*(1+Assumptions!$F$23)/(Assumptions!$B$37-Assumptions!$F$23))/(1+Assumptions!$B$37)^5-DCF!$B$29)/DCF!$B$31)</x:f>
        <x:v>24.10238522783389</x:v>
      </x:c>
      <x:c r="L6" s="157"/>
      <x:c r="M6" s="157"/>
      <x:c r="N6" s="157"/>
      <x:c r="O6" s="157"/>
      <x:c r="P6" s="157"/>
      <x:c r="Q6" s="157"/>
      <x:c r="R6" s="157"/>
      <x:c r="S6" s="157"/>
    </x:row>
    <x:row r="7">
      <x:c r="A7" s="176" t="n">
        <x:v>0.085</x:v>
      </x:c>
      <x:c r="B7" s="165" t="n">
        <x:f>MAX(0,(SUMPRODUCT(DCF!$B$13:$F$13,1/(1+$A7)^DCF!$B$14:$F$14)+DCF!$F$13*(1+B$5)/($A7-B$5)/(1+$A7)^5-DCF!$B$29)/DCF!$B$31)</x:f>
        <x:v>33.54353230186971</x:v>
      </x:c>
      <x:c r="C7" s="165" t="n">
        <x:f>MAX(0,(SUMPRODUCT(DCF!$B$13:$F$13,1/(1+$A7)^DCF!$B$14:$F$14)+DCF!$F$13*(1+C$5)/($A7-C$5)/(1+$A7)^5-DCF!$B$29)/DCF!$B$31)</x:f>
        <x:v>35.946598339192995</x:v>
      </x:c>
      <x:c r="D7" s="165" t="n">
        <x:f>MAX(0,(SUMPRODUCT(DCF!$B$13:$F$13,1/(1+$A7)^DCF!$B$14:$F$14)+DCF!$F$13*(1+D$5)/($A7-D$5)/(1+$A7)^5-DCF!$B$29)/DCF!$B$31)</x:f>
        <x:v>38.750175382736835</x:v>
      </x:c>
      <x:c r="E7" s="165" t="n">
        <x:f>MAX(0,(SUMPRODUCT(DCF!$B$13:$F$13,1/(1+$A7)^DCF!$B$14:$F$14)+DCF!$F$13*(1+E$5)/($A7-E$5)/(1+$A7)^5-DCF!$B$29)/DCF!$B$31)</x:f>
        <x:v>42.063493706924994</x:v>
      </x:c>
      <x:c r="F7" s="165" t="n">
        <x:f>MAX(0,(SUMPRODUCT(DCF!$B$13:$F$13,1/(1+$A7)^DCF!$B$14:$F$14)+DCF!$F$13*(1+F$5)/($A7-F$5)/(1+$A7)^5-DCF!$B$29)/DCF!$B$31)</x:f>
        <x:v>46.0394756959508</x:v>
      </x:c>
      <x:c r="G7" s="157"/>
      <x:c r="H7" s="199" t="n">
        <x:v>2</x:v>
      </x:c>
      <x:c r="I7" s="165" t="n">
        <x:f>MAX(0,(DCF!$B$26+(((($H7*I$5-Assumptions!$F$9*Assumptions!$F$10)*(1+Assumptions!$F$8)^1)-(($H7-Assumptions!$F$9)*Assumptions!$F$16*(1+Assumptions!$F$15)^1))*(1-Assumptions!$F$21)-(($H7*I$5-Assumptions!$F$9*Assumptions!$F$10)*(1+Assumptions!$F$8)^1)*Assumptions!$F$19-((($H7*I$5-Assumptions!$F$9*Assumptions!$F$10)*(1+Assumptions!$F$8)^1)-0)*Assumptions!$F$20)/(1+Assumptions!$B$37)^1+(((($H7*I$5-Assumptions!$F$9*Assumptions!$F$10)*(1+Assumptions!$F$8)^2)-(($H7-Assumptions!$F$9)*Assumptions!$F$16*(1+Assumptions!$F$15)^2))*(1-Assumptions!$F$21)-(($H7*I$5-Assumptions!$F$9*Assumptions!$F$10)*(1+Assumptions!$F$8)^2)*Assumptions!$F$19-((($H7*I$5-Assumptions!$F$9*Assumptions!$F$10)*(1+Assumptions!$F$8)^2)-(($H7*I$5-Assumptions!$F$9*Assumptions!$F$10)*(1+Assumptions!$F$8)^1))*Assumptions!$F$20)/(1+Assumptions!$B$37)^2+(((($H7*I$5-Assumptions!$F$9*Assumptions!$F$10)*(1+Assumptions!$F$8)^3)-(($H7-Assumptions!$F$9)*Assumptions!$F$16*(1+Assumptions!$F$15)^3))*(1-Assumptions!$F$21)-(($H7*I$5-Assumptions!$F$9*Assumptions!$F$10)*(1+Assumptions!$F$8)^3)*Assumptions!$F$19-((($H7*I$5-Assumptions!$F$9*Assumptions!$F$10)*(1+Assumptions!$F$8)^3)-(($H7*I$5-Assumptions!$F$9*Assumptions!$F$10)*(1+Assumptions!$F$8)^2))*Assumptions!$F$20)/(1+Assumptions!$B$37)^3+(((($H7*I$5-Assumptions!$F$9*Assumptions!$F$10)*(1+Assumptions!$F$8)^4)-(($H7-Assumptions!$F$9)*Assumptions!$F$16*(1+Assumptions!$F$15)^4))*(1-Assumptions!$F$21)-(($H7*I$5-Assumptions!$F$9*Assumptions!$F$10)*(1+Assumptions!$F$8)^4)*Assumptions!$F$19-((($H7*I$5-Assumptions!$F$9*Assumptions!$F$10)*(1+Assumptions!$F$8)^4)-(($H7*I$5-Assumptions!$F$9*Assumptions!$F$10)*(1+Assumptions!$F$8)^3))*Assumptions!$F$20)/(1+Assumptions!$B$37)^4+(((($H7*I$5-Assumptions!$F$9*Assumptions!$F$10)*(1+Assumptions!$F$8)^5)-(($H7-Assumptions!$F$9)*Assumptions!$F$16*(1+Assumptions!$F$15)^5))*(1-Assumptions!$F$21)-(($H7*I$5-Assumptions!$F$9*Assumptions!$F$10)*(1+Assumptions!$F$8)^5)*Assumptions!$F$19-((($H7*I$5-Assumptions!$F$9*Assumptions!$F$10)*(1+Assumptions!$F$8)^5)-(($H7*I$5-Assumptions!$F$9*Assumptions!$F$10)*(1+Assumptions!$F$8)^4))*Assumptions!$F$20)/(1+Assumptions!$B$37)^5+((((($H7*I$5-Assumptions!$F$9*Assumptions!$F$10)*(1+Assumptions!$F$8)^5)-(($H7-Assumptions!$F$9)*Assumptions!$F$16*(1+Assumptions!$F$15)^5))*(1-Assumptions!$F$21)-(($H7*I$5-Assumptions!$F$9*Assumptions!$F$10)*(1+Assumptions!$F$8)^5)*Assumptions!$F$19-((($H7*I$5-Assumptions!$F$9*Assumptions!$F$10)*(1+Assumptions!$F$8)^5)-(($H7*I$5-Assumptions!$F$9*Assumptions!$F$10)*(1+Assumptions!$F$8)^4))*Assumptions!$F$20)*(1+Assumptions!$F$23)/(Assumptions!$B$37-Assumptions!$F$23))/(1+Assumptions!$B$37)^5-DCF!$B$29)/DCF!$B$31)</x:f>
        <x:v>27.41683542296289</x:v>
      </x:c>
      <x:c r="J7" s="165" t="n">
        <x:f>MAX(0,(DCF!$B$26+(((($H7*J$5-Assumptions!$F$9*Assumptions!$F$10)*(1+Assumptions!$F$8)^1)-(($H7-Assumptions!$F$9)*Assumptions!$F$16*(1+Assumptions!$F$15)^1))*(1-Assumptions!$F$21)-(($H7*J$5-Assumptions!$F$9*Assumptions!$F$10)*(1+Assumptions!$F$8)^1)*Assumptions!$F$19-((($H7*J$5-Assumptions!$F$9*Assumptions!$F$10)*(1+Assumptions!$F$8)^1)-0)*Assumptions!$F$20)/(1+Assumptions!$B$37)^1+(((($H7*J$5-Assumptions!$F$9*Assumptions!$F$10)*(1+Assumptions!$F$8)^2)-(($H7-Assumptions!$F$9)*Assumptions!$F$16*(1+Assumptions!$F$15)^2))*(1-Assumptions!$F$21)-(($H7*J$5-Assumptions!$F$9*Assumptions!$F$10)*(1+Assumptions!$F$8)^2)*Assumptions!$F$19-((($H7*J$5-Assumptions!$F$9*Assumptions!$F$10)*(1+Assumptions!$F$8)^2)-(($H7*J$5-Assumptions!$F$9*Assumptions!$F$10)*(1+Assumptions!$F$8)^1))*Assumptions!$F$20)/(1+Assumptions!$B$37)^2+(((($H7*J$5-Assumptions!$F$9*Assumptions!$F$10)*(1+Assumptions!$F$8)^3)-(($H7-Assumptions!$F$9)*Assumptions!$F$16*(1+Assumptions!$F$15)^3))*(1-Assumptions!$F$21)-(($H7*J$5-Assumptions!$F$9*Assumptions!$F$10)*(1+Assumptions!$F$8)^3)*Assumptions!$F$19-((($H7*J$5-Assumptions!$F$9*Assumptions!$F$10)*(1+Assumptions!$F$8)^3)-(($H7*J$5-Assumptions!$F$9*Assumptions!$F$10)*(1+Assumptions!$F$8)^2))*Assumptions!$F$20)/(1+Assumptions!$B$37)^3+(((($H7*J$5-Assumptions!$F$9*Assumptions!$F$10)*(1+Assumptions!$F$8)^4)-(($H7-Assumptions!$F$9)*Assumptions!$F$16*(1+Assumptions!$F$15)^4))*(1-Assumptions!$F$21)-(($H7*J$5-Assumptions!$F$9*Assumptions!$F$10)*(1+Assumptions!$F$8)^4)*Assumptions!$F$19-((($H7*J$5-Assumptions!$F$9*Assumptions!$F$10)*(1+Assumptions!$F$8)^4)-(($H7*J$5-Assumptions!$F$9*Assumptions!$F$10)*(1+Assumptions!$F$8)^3))*Assumptions!$F$20)/(1+Assumptions!$B$37)^4+(((($H7*J$5-Assumptions!$F$9*Assumptions!$F$10)*(1+Assumptions!$F$8)^5)-(($H7-Assumptions!$F$9)*Assumptions!$F$16*(1+Assumptions!$F$15)^5))*(1-Assumptions!$F$21)-(($H7*J$5-Assumptions!$F$9*Assumptions!$F$10)*(1+Assumptions!$F$8)^5)*Assumptions!$F$19-((($H7*J$5-Assumptions!$F$9*Assumptions!$F$10)*(1+Assumptions!$F$8)^5)-(($H7*J$5-Assumptions!$F$9*Assumptions!$F$10)*(1+Assumptions!$F$8)^4))*Assumptions!$F$20)/(1+Assumptions!$B$37)^5+((((($H7*J$5-Assumptions!$F$9*Assumptions!$F$10)*(1+Assumptions!$F$8)^5)-(($H7-Assumptions!$F$9)*Assumptions!$F$16*(1+Assumptions!$F$15)^5))*(1-Assumptions!$F$21)-(($H7*J$5-Assumptions!$F$9*Assumptions!$F$10)*(1+Assumptions!$F$8)^5)*Assumptions!$F$19-((($H7*J$5-Assumptions!$F$9*Assumptions!$F$10)*(1+Assumptions!$F$8)^5)-(($H7*J$5-Assumptions!$F$9*Assumptions!$F$10)*(1+Assumptions!$F$8)^4))*Assumptions!$F$20)*(1+Assumptions!$F$23)/(Assumptions!$B$37-Assumptions!$F$23))/(1+Assumptions!$B$37)^5-DCF!$B$29)/DCF!$B$31)</x:f>
        <x:v>29.372624899530052</x:v>
      </x:c>
      <x:c r="K7" s="165" t="n">
        <x:f>MAX(0,(DCF!$B$26+(((($H7*K$5-Assumptions!$F$9*Assumptions!$F$10)*(1+Assumptions!$F$8)^1)-(($H7-Assumptions!$F$9)*Assumptions!$F$16*(1+Assumptions!$F$15)^1))*(1-Assumptions!$F$21)-(($H7*K$5-Assumptions!$F$9*Assumptions!$F$10)*(1+Assumptions!$F$8)^1)*Assumptions!$F$19-((($H7*K$5-Assumptions!$F$9*Assumptions!$F$10)*(1+Assumptions!$F$8)^1)-0)*Assumptions!$F$20)/(1+Assumptions!$B$37)^1+(((($H7*K$5-Assumptions!$F$9*Assumptions!$F$10)*(1+Assumptions!$F$8)^2)-(($H7-Assumptions!$F$9)*Assumptions!$F$16*(1+Assumptions!$F$15)^2))*(1-Assumptions!$F$21)-(($H7*K$5-Assumptions!$F$9*Assumptions!$F$10)*(1+Assumptions!$F$8)^2)*Assumptions!$F$19-((($H7*K$5-Assumptions!$F$9*Assumptions!$F$10)*(1+Assumptions!$F$8)^2)-(($H7*K$5-Assumptions!$F$9*Assumptions!$F$10)*(1+Assumptions!$F$8)^1))*Assumptions!$F$20)/(1+Assumptions!$B$37)^2+(((($H7*K$5-Assumptions!$F$9*Assumptions!$F$10)*(1+Assumptions!$F$8)^3)-(($H7-Assumptions!$F$9)*Assumptions!$F$16*(1+Assumptions!$F$15)^3))*(1-Assumptions!$F$21)-(($H7*K$5-Assumptions!$F$9*Assumptions!$F$10)*(1+Assumptions!$F$8)^3)*Assumptions!$F$19-((($H7*K$5-Assumptions!$F$9*Assumptions!$F$10)*(1+Assumptions!$F$8)^3)-(($H7*K$5-Assumptions!$F$9*Assumptions!$F$10)*(1+Assumptions!$F$8)^2))*Assumptions!$F$20)/(1+Assumptions!$B$37)^3+(((($H7*K$5-Assumptions!$F$9*Assumptions!$F$10)*(1+Assumptions!$F$8)^4)-(($H7-Assumptions!$F$9)*Assumptions!$F$16*(1+Assumptions!$F$15)^4))*(1-Assumptions!$F$21)-(($H7*K$5-Assumptions!$F$9*Assumptions!$F$10)*(1+Assumptions!$F$8)^4)*Assumptions!$F$19-((($H7*K$5-Assumptions!$F$9*Assumptions!$F$10)*(1+Assumptions!$F$8)^4)-(($H7*K$5-Assumptions!$F$9*Assumptions!$F$10)*(1+Assumptions!$F$8)^3))*Assumptions!$F$20)/(1+Assumptions!$B$37)^4+(((($H7*K$5-Assumptions!$F$9*Assumptions!$F$10)*(1+Assumptions!$F$8)^5)-(($H7-Assumptions!$F$9)*Assumptions!$F$16*(1+Assumptions!$F$15)^5))*(1-Assumptions!$F$21)-(($H7*K$5-Assumptions!$F$9*Assumptions!$F$10)*(1+Assumptions!$F$8)^5)*Assumptions!$F$19-((($H7*K$5-Assumptions!$F$9*Assumptions!$F$10)*(1+Assumptions!$F$8)^5)-(($H7*K$5-Assumptions!$F$9*Assumptions!$F$10)*(1+Assumptions!$F$8)^4))*Assumptions!$F$20)/(1+Assumptions!$B$37)^5+((((($H7*K$5-Assumptions!$F$9*Assumptions!$F$10)*(1+Assumptions!$F$8)^5)-(($H7-Assumptions!$F$9)*Assumptions!$F$16*(1+Assumptions!$F$15)^5))*(1-Assumptions!$F$21)-(($H7*K$5-Assumptions!$F$9*Assumptions!$F$10)*(1+Assumptions!$F$8)^5)*Assumptions!$F$19-((($H7*K$5-Assumptions!$F$9*Assumptions!$F$10)*(1+Assumptions!$F$8)^5)-(($H7*K$5-Assumptions!$F$9*Assumptions!$F$10)*(1+Assumptions!$F$8)^4))*Assumptions!$F$20)*(1+Assumptions!$F$23)/(Assumptions!$B$37-Assumptions!$F$23))/(1+Assumptions!$B$37)^5-DCF!$B$29)/DCF!$B$31)</x:f>
        <x:v>31.328414376097214</x:v>
      </x:c>
      <x:c r="L7" s="157"/>
      <x:c r="M7" s="157"/>
      <x:c r="N7" s="157"/>
      <x:c r="O7" s="157"/>
      <x:c r="P7" s="157"/>
      <x:c r="Q7" s="157"/>
      <x:c r="R7" s="157"/>
      <x:c r="S7" s="157"/>
    </x:row>
    <x:row r="8">
      <x:c r="A8" s="176" t="n">
        <x:v>0.09</x:v>
      </x:c>
      <x:c r="B8" s="165" t="n">
        <x:f>MAX(0,(SUMPRODUCT(DCF!$B$13:$F$13,1/(1+$A8)^DCF!$B$14:$F$14)+DCF!$F$13*(1+B$5)/($A8-B$5)/(1+$A8)^5-DCF!$B$29)/DCF!$B$31)</x:f>
        <x:v>30.86041126843837</x:v>
      </x:c>
      <x:c r="C8" s="165" t="n">
        <x:f>MAX(0,(SUMPRODUCT(DCF!$B$13:$F$13,1/(1+$A8)^DCF!$B$14:$F$14)+DCF!$F$13*(1+C$5)/($A8-C$5)/(1+$A8)^5-DCF!$B$29)/DCF!$B$31)</x:f>
        <x:v>32.90511674307789</x:v>
      </x:c>
      <x:c r="D8" s="200" t="n">
        <x:f>MAX(0,(SUMPRODUCT(DCF!$B$13:$F$13,1/(1+$A8)^DCF!$B$14:$F$14)+DCF!$F$13*(1+D$5)/($A8-D$5)/(1+$A8)^5-DCF!$B$29)/DCF!$B$31)</x:f>
        <x:v>35.26439229073886</x:v>
      </x:c>
      <x:c r="E8" s="165" t="n">
        <x:f>MAX(0,(SUMPRODUCT(DCF!$B$13:$F$13,1/(1+$A8)^DCF!$B$14:$F$14)+DCF!$F$13*(1+E$5)/($A8-E$5)/(1+$A8)^5-DCF!$B$29)/DCF!$B$31)</x:f>
        <x:v>38.01688042967668</x:v>
      </x:c>
      <x:c r="F8" s="165" t="n">
        <x:f>MAX(0,(SUMPRODUCT(DCF!$B$13:$F$13,1/(1+$A8)^DCF!$B$14:$F$14)+DCF!$F$13*(1+F$5)/($A8-F$5)/(1+$A8)^5-DCF!$B$29)/DCF!$B$31)</x:f>
        <x:v>41.26982095751227</x:v>
      </x:c>
      <x:c r="G8" s="157"/>
      <x:c r="H8" s="199" t="n">
        <x:v>4</x:v>
      </x:c>
      <x:c r="I8" s="165" t="n">
        <x:f>MAX(0,(DCF!$B$26+(((($H8*I$5-Assumptions!$F$9*Assumptions!$F$10)*(1+Assumptions!$F$8)^1)-(($H8-Assumptions!$F$9)*Assumptions!$F$16*(1+Assumptions!$F$15)^1))*(1-Assumptions!$F$21)-(($H8*I$5-Assumptions!$F$9*Assumptions!$F$10)*(1+Assumptions!$F$8)^1)*Assumptions!$F$19-((($H8*I$5-Assumptions!$F$9*Assumptions!$F$10)*(1+Assumptions!$F$8)^1)-0)*Assumptions!$F$20)/(1+Assumptions!$B$37)^1+(((($H8*I$5-Assumptions!$F$9*Assumptions!$F$10)*(1+Assumptions!$F$8)^2)-(($H8-Assumptions!$F$9)*Assumptions!$F$16*(1+Assumptions!$F$15)^2))*(1-Assumptions!$F$21)-(($H8*I$5-Assumptions!$F$9*Assumptions!$F$10)*(1+Assumptions!$F$8)^2)*Assumptions!$F$19-((($H8*I$5-Assumptions!$F$9*Assumptions!$F$10)*(1+Assumptions!$F$8)^2)-(($H8*I$5-Assumptions!$F$9*Assumptions!$F$10)*(1+Assumptions!$F$8)^1))*Assumptions!$F$20)/(1+Assumptions!$B$37)^2+(((($H8*I$5-Assumptions!$F$9*Assumptions!$F$10)*(1+Assumptions!$F$8)^3)-(($H8-Assumptions!$F$9)*Assumptions!$F$16*(1+Assumptions!$F$15)^3))*(1-Assumptions!$F$21)-(($H8*I$5-Assumptions!$F$9*Assumptions!$F$10)*(1+Assumptions!$F$8)^3)*Assumptions!$F$19-((($H8*I$5-Assumptions!$F$9*Assumptions!$F$10)*(1+Assumptions!$F$8)^3)-(($H8*I$5-Assumptions!$F$9*Assumptions!$F$10)*(1+Assumptions!$F$8)^2))*Assumptions!$F$20)/(1+Assumptions!$B$37)^3+(((($H8*I$5-Assumptions!$F$9*Assumptions!$F$10)*(1+Assumptions!$F$8)^4)-(($H8-Assumptions!$F$9)*Assumptions!$F$16*(1+Assumptions!$F$15)^4))*(1-Assumptions!$F$21)-(($H8*I$5-Assumptions!$F$9*Assumptions!$F$10)*(1+Assumptions!$F$8)^4)*Assumptions!$F$19-((($H8*I$5-Assumptions!$F$9*Assumptions!$F$10)*(1+Assumptions!$F$8)^4)-(($H8*I$5-Assumptions!$F$9*Assumptions!$F$10)*(1+Assumptions!$F$8)^3))*Assumptions!$F$20)/(1+Assumptions!$B$37)^4+(((($H8*I$5-Assumptions!$F$9*Assumptions!$F$10)*(1+Assumptions!$F$8)^5)-(($H8-Assumptions!$F$9)*Assumptions!$F$16*(1+Assumptions!$F$15)^5))*(1-Assumptions!$F$21)-(($H8*I$5-Assumptions!$F$9*Assumptions!$F$10)*(1+Assumptions!$F$8)^5)*Assumptions!$F$19-((($H8*I$5-Assumptions!$F$9*Assumptions!$F$10)*(1+Assumptions!$F$8)^5)-(($H8*I$5-Assumptions!$F$9*Assumptions!$F$10)*(1+Assumptions!$F$8)^4))*Assumptions!$F$20)/(1+Assumptions!$B$37)^5+((((($H8*I$5-Assumptions!$F$9*Assumptions!$F$10)*(1+Assumptions!$F$8)^5)-(($H8-Assumptions!$F$9)*Assumptions!$F$16*(1+Assumptions!$F$15)^5))*(1-Assumptions!$F$21)-(($H8*I$5-Assumptions!$F$9*Assumptions!$F$10)*(1+Assumptions!$F$8)^5)*Assumptions!$F$19-((($H8*I$5-Assumptions!$F$9*Assumptions!$F$10)*(1+Assumptions!$F$8)^5)-(($H8*I$5-Assumptions!$F$9*Assumptions!$F$10)*(1+Assumptions!$F$8)^4))*Assumptions!$F$20)*(1+Assumptions!$F$23)/(Assumptions!$B$37-Assumptions!$F$23))/(1+Assumptions!$B$37)^5-DCF!$B$29)/DCF!$B$31)</x:f>
        <x:v>30.73128561809189</x:v>
      </x:c>
      <x:c r="J8" s="200" t="n">
        <x:f>MAX(0,(DCF!$B$26+(((($H8*J$5-Assumptions!$F$9*Assumptions!$F$10)*(1+Assumptions!$F$8)^1)-(($H8-Assumptions!$F$9)*Assumptions!$F$16*(1+Assumptions!$F$15)^1))*(1-Assumptions!$F$21)-(($H8*J$5-Assumptions!$F$9*Assumptions!$F$10)*(1+Assumptions!$F$8)^1)*Assumptions!$F$19-((($H8*J$5-Assumptions!$F$9*Assumptions!$F$10)*(1+Assumptions!$F$8)^1)-0)*Assumptions!$F$20)/(1+Assumptions!$B$37)^1+(((($H8*J$5-Assumptions!$F$9*Assumptions!$F$10)*(1+Assumptions!$F$8)^2)-(($H8-Assumptions!$F$9)*Assumptions!$F$16*(1+Assumptions!$F$15)^2))*(1-Assumptions!$F$21)-(($H8*J$5-Assumptions!$F$9*Assumptions!$F$10)*(1+Assumptions!$F$8)^2)*Assumptions!$F$19-((($H8*J$5-Assumptions!$F$9*Assumptions!$F$10)*(1+Assumptions!$F$8)^2)-(($H8*J$5-Assumptions!$F$9*Assumptions!$F$10)*(1+Assumptions!$F$8)^1))*Assumptions!$F$20)/(1+Assumptions!$B$37)^2+(((($H8*J$5-Assumptions!$F$9*Assumptions!$F$10)*(1+Assumptions!$F$8)^3)-(($H8-Assumptions!$F$9)*Assumptions!$F$16*(1+Assumptions!$F$15)^3))*(1-Assumptions!$F$21)-(($H8*J$5-Assumptions!$F$9*Assumptions!$F$10)*(1+Assumptions!$F$8)^3)*Assumptions!$F$19-((($H8*J$5-Assumptions!$F$9*Assumptions!$F$10)*(1+Assumptions!$F$8)^3)-(($H8*J$5-Assumptions!$F$9*Assumptions!$F$10)*(1+Assumptions!$F$8)^2))*Assumptions!$F$20)/(1+Assumptions!$B$37)^3+(((($H8*J$5-Assumptions!$F$9*Assumptions!$F$10)*(1+Assumptions!$F$8)^4)-(($H8-Assumptions!$F$9)*Assumptions!$F$16*(1+Assumptions!$F$15)^4))*(1-Assumptions!$F$21)-(($H8*J$5-Assumptions!$F$9*Assumptions!$F$10)*(1+Assumptions!$F$8)^4)*Assumptions!$F$19-((($H8*J$5-Assumptions!$F$9*Assumptions!$F$10)*(1+Assumptions!$F$8)^4)-(($H8*J$5-Assumptions!$F$9*Assumptions!$F$10)*(1+Assumptions!$F$8)^3))*Assumptions!$F$20)/(1+Assumptions!$B$37)^4+(((($H8*J$5-Assumptions!$F$9*Assumptions!$F$10)*(1+Assumptions!$F$8)^5)-(($H8-Assumptions!$F$9)*Assumptions!$F$16*(1+Assumptions!$F$15)^5))*(1-Assumptions!$F$21)-(($H8*J$5-Assumptions!$F$9*Assumptions!$F$10)*(1+Assumptions!$F$8)^5)*Assumptions!$F$19-((($H8*J$5-Assumptions!$F$9*Assumptions!$F$10)*(1+Assumptions!$F$8)^5)-(($H8*J$5-Assumptions!$F$9*Assumptions!$F$10)*(1+Assumptions!$F$8)^4))*Assumptions!$F$20)/(1+Assumptions!$B$37)^5+((((($H8*J$5-Assumptions!$F$9*Assumptions!$F$10)*(1+Assumptions!$F$8)^5)-(($H8-Assumptions!$F$9)*Assumptions!$F$16*(1+Assumptions!$F$15)^5))*(1-Assumptions!$F$21)-(($H8*J$5-Assumptions!$F$9*Assumptions!$F$10)*(1+Assumptions!$F$8)^5)*Assumptions!$F$19-((($H8*J$5-Assumptions!$F$9*Assumptions!$F$10)*(1+Assumptions!$F$8)^5)-(($H8*J$5-Assumptions!$F$9*Assumptions!$F$10)*(1+Assumptions!$F$8)^4))*Assumptions!$F$20)*(1+Assumptions!$F$23)/(Assumptions!$B$37-Assumptions!$F$23))/(1+Assumptions!$B$37)^5-DCF!$B$29)/DCF!$B$31)</x:f>
        <x:v>34.64286457122621</x:v>
      </x:c>
      <x:c r="K8" s="165" t="n">
        <x:f>MAX(0,(DCF!$B$26+(((($H8*K$5-Assumptions!$F$9*Assumptions!$F$10)*(1+Assumptions!$F$8)^1)-(($H8-Assumptions!$F$9)*Assumptions!$F$16*(1+Assumptions!$F$15)^1))*(1-Assumptions!$F$21)-(($H8*K$5-Assumptions!$F$9*Assumptions!$F$10)*(1+Assumptions!$F$8)^1)*Assumptions!$F$19-((($H8*K$5-Assumptions!$F$9*Assumptions!$F$10)*(1+Assumptions!$F$8)^1)-0)*Assumptions!$F$20)/(1+Assumptions!$B$37)^1+(((($H8*K$5-Assumptions!$F$9*Assumptions!$F$10)*(1+Assumptions!$F$8)^2)-(($H8-Assumptions!$F$9)*Assumptions!$F$16*(1+Assumptions!$F$15)^2))*(1-Assumptions!$F$21)-(($H8*K$5-Assumptions!$F$9*Assumptions!$F$10)*(1+Assumptions!$F$8)^2)*Assumptions!$F$19-((($H8*K$5-Assumptions!$F$9*Assumptions!$F$10)*(1+Assumptions!$F$8)^2)-(($H8*K$5-Assumptions!$F$9*Assumptions!$F$10)*(1+Assumptions!$F$8)^1))*Assumptions!$F$20)/(1+Assumptions!$B$37)^2+(((($H8*K$5-Assumptions!$F$9*Assumptions!$F$10)*(1+Assumptions!$F$8)^3)-(($H8-Assumptions!$F$9)*Assumptions!$F$16*(1+Assumptions!$F$15)^3))*(1-Assumptions!$F$21)-(($H8*K$5-Assumptions!$F$9*Assumptions!$F$10)*(1+Assumptions!$F$8)^3)*Assumptions!$F$19-((($H8*K$5-Assumptions!$F$9*Assumptions!$F$10)*(1+Assumptions!$F$8)^3)-(($H8*K$5-Assumptions!$F$9*Assumptions!$F$10)*(1+Assumptions!$F$8)^2))*Assumptions!$F$20)/(1+Assumptions!$B$37)^3+(((($H8*K$5-Assumptions!$F$9*Assumptions!$F$10)*(1+Assumptions!$F$8)^4)-(($H8-Assumptions!$F$9)*Assumptions!$F$16*(1+Assumptions!$F$15)^4))*(1-Assumptions!$F$21)-(($H8*K$5-Assumptions!$F$9*Assumptions!$F$10)*(1+Assumptions!$F$8)^4)*Assumptions!$F$19-((($H8*K$5-Assumptions!$F$9*Assumptions!$F$10)*(1+Assumptions!$F$8)^4)-(($H8*K$5-Assumptions!$F$9*Assumptions!$F$10)*(1+Assumptions!$F$8)^3))*Assumptions!$F$20)/(1+Assumptions!$B$37)^4+(((($H8*K$5-Assumptions!$F$9*Assumptions!$F$10)*(1+Assumptions!$F$8)^5)-(($H8-Assumptions!$F$9)*Assumptions!$F$16*(1+Assumptions!$F$15)^5))*(1-Assumptions!$F$21)-(($H8*K$5-Assumptions!$F$9*Assumptions!$F$10)*(1+Assumptions!$F$8)^5)*Assumptions!$F$19-((($H8*K$5-Assumptions!$F$9*Assumptions!$F$10)*(1+Assumptions!$F$8)^5)-(($H8*K$5-Assumptions!$F$9*Assumptions!$F$10)*(1+Assumptions!$F$8)^4))*Assumptions!$F$20)/(1+Assumptions!$B$37)^5+((((($H8*K$5-Assumptions!$F$9*Assumptions!$F$10)*(1+Assumptions!$F$8)^5)-(($H8-Assumptions!$F$9)*Assumptions!$F$16*(1+Assumptions!$F$15)^5))*(1-Assumptions!$F$21)-(($H8*K$5-Assumptions!$F$9*Assumptions!$F$10)*(1+Assumptions!$F$8)^5)*Assumptions!$F$19-((($H8*K$5-Assumptions!$F$9*Assumptions!$F$10)*(1+Assumptions!$F$8)^5)-(($H8*K$5-Assumptions!$F$9*Assumptions!$F$10)*(1+Assumptions!$F$8)^4))*Assumptions!$F$20)*(1+Assumptions!$F$23)/(Assumptions!$B$37-Assumptions!$F$23))/(1+Assumptions!$B$37)^5-DCF!$B$29)/DCF!$B$31)</x:f>
        <x:v>38.554443524360536</x:v>
      </x:c>
      <x:c r="L8" s="157"/>
      <x:c r="M8" s="157"/>
      <x:c r="N8" s="157"/>
      <x:c r="O8" s="157"/>
      <x:c r="P8" s="157"/>
      <x:c r="Q8" s="157"/>
      <x:c r="R8" s="157"/>
      <x:c r="S8" s="157"/>
    </x:row>
    <x:row r="9">
      <x:c r="A9" s="176" t="n">
        <x:v>0.095</x:v>
      </x:c>
      <x:c r="B9" s="165" t="n">
        <x:f>MAX(0,(SUMPRODUCT(DCF!$B$13:$F$13,1/(1+$A9)^DCF!$B$14:$F$14)+DCF!$F$13*(1+B$5)/($A9-B$5)/(1+$A9)^5-DCF!$B$29)/DCF!$B$31)</x:f>
        <x:v>28.516645156550933</x:v>
      </x:c>
      <x:c r="C9" s="165" t="n">
        <x:f>MAX(0,(SUMPRODUCT(DCF!$B$13:$F$13,1/(1+$A9)^DCF!$B$14:$F$14)+DCF!$F$13*(1+C$5)/($A9-C$5)/(1+$A9)^5-DCF!$B$29)/DCF!$B$31)</x:f>
        <x:v>30.273307646435022</x:v>
      </x:c>
      <x:c r="D9" s="165" t="n">
        <x:f>MAX(0,(SUMPRODUCT(DCF!$B$13:$F$13,1/(1+$A9)^DCF!$B$14:$F$14)+DCF!$F$13*(1+D$5)/($A9-D$5)/(1+$A9)^5-DCF!$B$29)/DCF!$B$31)</x:f>
        <x:v>32.280921920588256</x:v>
      </x:c>
      <x:c r="E9" s="165" t="n">
        <x:f>MAX(0,(SUMPRODUCT(DCF!$B$13:$F$13,1/(1+$A9)^DCF!$B$14:$F$14)+DCF!$F$13*(1+E$5)/($A9-E$5)/(1+$A9)^5-DCF!$B$29)/DCF!$B$31)</x:f>
        <x:v>34.597399929226604</x:v>
      </x:c>
      <x:c r="F9" s="165" t="n">
        <x:f>MAX(0,(SUMPRODUCT(DCF!$B$13:$F$13,1/(1+$A9)^DCF!$B$14:$F$14)+DCF!$F$13*(1+F$5)/($A9-F$5)/(1+$A9)^5-DCF!$B$29)/DCF!$B$31)</x:f>
        <x:v>37.29995760597135</x:v>
      </x:c>
      <x:c r="G9" s="157"/>
      <x:c r="H9" s="199" t="n">
        <x:v>6</x:v>
      </x:c>
      <x:c r="I9" s="165" t="n">
        <x:f>MAX(0,(DCF!$B$26+(((($H9*I$5-Assumptions!$F$9*Assumptions!$F$10)*(1+Assumptions!$F$8)^1)-(($H9-Assumptions!$F$9)*Assumptions!$F$16*(1+Assumptions!$F$15)^1))*(1-Assumptions!$F$21)-(($H9*I$5-Assumptions!$F$9*Assumptions!$F$10)*(1+Assumptions!$F$8)^1)*Assumptions!$F$19-((($H9*I$5-Assumptions!$F$9*Assumptions!$F$10)*(1+Assumptions!$F$8)^1)-0)*Assumptions!$F$20)/(1+Assumptions!$B$37)^1+(((($H9*I$5-Assumptions!$F$9*Assumptions!$F$10)*(1+Assumptions!$F$8)^2)-(($H9-Assumptions!$F$9)*Assumptions!$F$16*(1+Assumptions!$F$15)^2))*(1-Assumptions!$F$21)-(($H9*I$5-Assumptions!$F$9*Assumptions!$F$10)*(1+Assumptions!$F$8)^2)*Assumptions!$F$19-((($H9*I$5-Assumptions!$F$9*Assumptions!$F$10)*(1+Assumptions!$F$8)^2)-(($H9*I$5-Assumptions!$F$9*Assumptions!$F$10)*(1+Assumptions!$F$8)^1))*Assumptions!$F$20)/(1+Assumptions!$B$37)^2+(((($H9*I$5-Assumptions!$F$9*Assumptions!$F$10)*(1+Assumptions!$F$8)^3)-(($H9-Assumptions!$F$9)*Assumptions!$F$16*(1+Assumptions!$F$15)^3))*(1-Assumptions!$F$21)-(($H9*I$5-Assumptions!$F$9*Assumptions!$F$10)*(1+Assumptions!$F$8)^3)*Assumptions!$F$19-((($H9*I$5-Assumptions!$F$9*Assumptions!$F$10)*(1+Assumptions!$F$8)^3)-(($H9*I$5-Assumptions!$F$9*Assumptions!$F$10)*(1+Assumptions!$F$8)^2))*Assumptions!$F$20)/(1+Assumptions!$B$37)^3+(((($H9*I$5-Assumptions!$F$9*Assumptions!$F$10)*(1+Assumptions!$F$8)^4)-(($H9-Assumptions!$F$9)*Assumptions!$F$16*(1+Assumptions!$F$15)^4))*(1-Assumptions!$F$21)-(($H9*I$5-Assumptions!$F$9*Assumptions!$F$10)*(1+Assumptions!$F$8)^4)*Assumptions!$F$19-((($H9*I$5-Assumptions!$F$9*Assumptions!$F$10)*(1+Assumptions!$F$8)^4)-(($H9*I$5-Assumptions!$F$9*Assumptions!$F$10)*(1+Assumptions!$F$8)^3))*Assumptions!$F$20)/(1+Assumptions!$B$37)^4+(((($H9*I$5-Assumptions!$F$9*Assumptions!$F$10)*(1+Assumptions!$F$8)^5)-(($H9-Assumptions!$F$9)*Assumptions!$F$16*(1+Assumptions!$F$15)^5))*(1-Assumptions!$F$21)-(($H9*I$5-Assumptions!$F$9*Assumptions!$F$10)*(1+Assumptions!$F$8)^5)*Assumptions!$F$19-((($H9*I$5-Assumptions!$F$9*Assumptions!$F$10)*(1+Assumptions!$F$8)^5)-(($H9*I$5-Assumptions!$F$9*Assumptions!$F$10)*(1+Assumptions!$F$8)^4))*Assumptions!$F$20)/(1+Assumptions!$B$37)^5+((((($H9*I$5-Assumptions!$F$9*Assumptions!$F$10)*(1+Assumptions!$F$8)^5)-(($H9-Assumptions!$F$9)*Assumptions!$F$16*(1+Assumptions!$F$15)^5))*(1-Assumptions!$F$21)-(($H9*I$5-Assumptions!$F$9*Assumptions!$F$10)*(1+Assumptions!$F$8)^5)*Assumptions!$F$19-((($H9*I$5-Assumptions!$F$9*Assumptions!$F$10)*(1+Assumptions!$F$8)^5)-(($H9*I$5-Assumptions!$F$9*Assumptions!$F$10)*(1+Assumptions!$F$8)^4))*Assumptions!$F$20)*(1+Assumptions!$F$23)/(Assumptions!$B$37-Assumptions!$F$23))/(1+Assumptions!$B$37)^5-DCF!$B$29)/DCF!$B$31)</x:f>
        <x:v>34.04573581322089</x:v>
      </x:c>
      <x:c r="J9" s="165" t="n">
        <x:f>MAX(0,(DCF!$B$26+(((($H9*J$5-Assumptions!$F$9*Assumptions!$F$10)*(1+Assumptions!$F$8)^1)-(($H9-Assumptions!$F$9)*Assumptions!$F$16*(1+Assumptions!$F$15)^1))*(1-Assumptions!$F$21)-(($H9*J$5-Assumptions!$F$9*Assumptions!$F$10)*(1+Assumptions!$F$8)^1)*Assumptions!$F$19-((($H9*J$5-Assumptions!$F$9*Assumptions!$F$10)*(1+Assumptions!$F$8)^1)-0)*Assumptions!$F$20)/(1+Assumptions!$B$37)^1+(((($H9*J$5-Assumptions!$F$9*Assumptions!$F$10)*(1+Assumptions!$F$8)^2)-(($H9-Assumptions!$F$9)*Assumptions!$F$16*(1+Assumptions!$F$15)^2))*(1-Assumptions!$F$21)-(($H9*J$5-Assumptions!$F$9*Assumptions!$F$10)*(1+Assumptions!$F$8)^2)*Assumptions!$F$19-((($H9*J$5-Assumptions!$F$9*Assumptions!$F$10)*(1+Assumptions!$F$8)^2)-(($H9*J$5-Assumptions!$F$9*Assumptions!$F$10)*(1+Assumptions!$F$8)^1))*Assumptions!$F$20)/(1+Assumptions!$B$37)^2+(((($H9*J$5-Assumptions!$F$9*Assumptions!$F$10)*(1+Assumptions!$F$8)^3)-(($H9-Assumptions!$F$9)*Assumptions!$F$16*(1+Assumptions!$F$15)^3))*(1-Assumptions!$F$21)-(($H9*J$5-Assumptions!$F$9*Assumptions!$F$10)*(1+Assumptions!$F$8)^3)*Assumptions!$F$19-((($H9*J$5-Assumptions!$F$9*Assumptions!$F$10)*(1+Assumptions!$F$8)^3)-(($H9*J$5-Assumptions!$F$9*Assumptions!$F$10)*(1+Assumptions!$F$8)^2))*Assumptions!$F$20)/(1+Assumptions!$B$37)^3+(((($H9*J$5-Assumptions!$F$9*Assumptions!$F$10)*(1+Assumptions!$F$8)^4)-(($H9-Assumptions!$F$9)*Assumptions!$F$16*(1+Assumptions!$F$15)^4))*(1-Assumptions!$F$21)-(($H9*J$5-Assumptions!$F$9*Assumptions!$F$10)*(1+Assumptions!$F$8)^4)*Assumptions!$F$19-((($H9*J$5-Assumptions!$F$9*Assumptions!$F$10)*(1+Assumptions!$F$8)^4)-(($H9*J$5-Assumptions!$F$9*Assumptions!$F$10)*(1+Assumptions!$F$8)^3))*Assumptions!$F$20)/(1+Assumptions!$B$37)^4+(((($H9*J$5-Assumptions!$F$9*Assumptions!$F$10)*(1+Assumptions!$F$8)^5)-(($H9-Assumptions!$F$9)*Assumptions!$F$16*(1+Assumptions!$F$15)^5))*(1-Assumptions!$F$21)-(($H9*J$5-Assumptions!$F$9*Assumptions!$F$10)*(1+Assumptions!$F$8)^5)*Assumptions!$F$19-((($H9*J$5-Assumptions!$F$9*Assumptions!$F$10)*(1+Assumptions!$F$8)^5)-(($H9*J$5-Assumptions!$F$9*Assumptions!$F$10)*(1+Assumptions!$F$8)^4))*Assumptions!$F$20)/(1+Assumptions!$B$37)^5+((((($H9*J$5-Assumptions!$F$9*Assumptions!$F$10)*(1+Assumptions!$F$8)^5)-(($H9-Assumptions!$F$9)*Assumptions!$F$16*(1+Assumptions!$F$15)^5))*(1-Assumptions!$F$21)-(($H9*J$5-Assumptions!$F$9*Assumptions!$F$10)*(1+Assumptions!$F$8)^5)*Assumptions!$F$19-((($H9*J$5-Assumptions!$F$9*Assumptions!$F$10)*(1+Assumptions!$F$8)^5)-(($H9*J$5-Assumptions!$F$9*Assumptions!$F$10)*(1+Assumptions!$F$8)^4))*Assumptions!$F$20)*(1+Assumptions!$F$23)/(Assumptions!$B$37-Assumptions!$F$23))/(1+Assumptions!$B$37)^5-DCF!$B$29)/DCF!$B$31)</x:f>
        <x:v>39.91310424292237</x:v>
      </x:c>
      <x:c r="K9" s="165" t="n">
        <x:f>MAX(0,(DCF!$B$26+(((($H9*K$5-Assumptions!$F$9*Assumptions!$F$10)*(1+Assumptions!$F$8)^1)-(($H9-Assumptions!$F$9)*Assumptions!$F$16*(1+Assumptions!$F$15)^1))*(1-Assumptions!$F$21)-(($H9*K$5-Assumptions!$F$9*Assumptions!$F$10)*(1+Assumptions!$F$8)^1)*Assumptions!$F$19-((($H9*K$5-Assumptions!$F$9*Assumptions!$F$10)*(1+Assumptions!$F$8)^1)-0)*Assumptions!$F$20)/(1+Assumptions!$B$37)^1+(((($H9*K$5-Assumptions!$F$9*Assumptions!$F$10)*(1+Assumptions!$F$8)^2)-(($H9-Assumptions!$F$9)*Assumptions!$F$16*(1+Assumptions!$F$15)^2))*(1-Assumptions!$F$21)-(($H9*K$5-Assumptions!$F$9*Assumptions!$F$10)*(1+Assumptions!$F$8)^2)*Assumptions!$F$19-((($H9*K$5-Assumptions!$F$9*Assumptions!$F$10)*(1+Assumptions!$F$8)^2)-(($H9*K$5-Assumptions!$F$9*Assumptions!$F$10)*(1+Assumptions!$F$8)^1))*Assumptions!$F$20)/(1+Assumptions!$B$37)^2+(((($H9*K$5-Assumptions!$F$9*Assumptions!$F$10)*(1+Assumptions!$F$8)^3)-(($H9-Assumptions!$F$9)*Assumptions!$F$16*(1+Assumptions!$F$15)^3))*(1-Assumptions!$F$21)-(($H9*K$5-Assumptions!$F$9*Assumptions!$F$10)*(1+Assumptions!$F$8)^3)*Assumptions!$F$19-((($H9*K$5-Assumptions!$F$9*Assumptions!$F$10)*(1+Assumptions!$F$8)^3)-(($H9*K$5-Assumptions!$F$9*Assumptions!$F$10)*(1+Assumptions!$F$8)^2))*Assumptions!$F$20)/(1+Assumptions!$B$37)^3+(((($H9*K$5-Assumptions!$F$9*Assumptions!$F$10)*(1+Assumptions!$F$8)^4)-(($H9-Assumptions!$F$9)*Assumptions!$F$16*(1+Assumptions!$F$15)^4))*(1-Assumptions!$F$21)-(($H9*K$5-Assumptions!$F$9*Assumptions!$F$10)*(1+Assumptions!$F$8)^4)*Assumptions!$F$19-((($H9*K$5-Assumptions!$F$9*Assumptions!$F$10)*(1+Assumptions!$F$8)^4)-(($H9*K$5-Assumptions!$F$9*Assumptions!$F$10)*(1+Assumptions!$F$8)^3))*Assumptions!$F$20)/(1+Assumptions!$B$37)^4+(((($H9*K$5-Assumptions!$F$9*Assumptions!$F$10)*(1+Assumptions!$F$8)^5)-(($H9-Assumptions!$F$9)*Assumptions!$F$16*(1+Assumptions!$F$15)^5))*(1-Assumptions!$F$21)-(($H9*K$5-Assumptions!$F$9*Assumptions!$F$10)*(1+Assumptions!$F$8)^5)*Assumptions!$F$19-((($H9*K$5-Assumptions!$F$9*Assumptions!$F$10)*(1+Assumptions!$F$8)^5)-(($H9*K$5-Assumptions!$F$9*Assumptions!$F$10)*(1+Assumptions!$F$8)^4))*Assumptions!$F$20)/(1+Assumptions!$B$37)^5+((((($H9*K$5-Assumptions!$F$9*Assumptions!$F$10)*(1+Assumptions!$F$8)^5)-(($H9-Assumptions!$F$9)*Assumptions!$F$16*(1+Assumptions!$F$15)^5))*(1-Assumptions!$F$21)-(($H9*K$5-Assumptions!$F$9*Assumptions!$F$10)*(1+Assumptions!$F$8)^5)*Assumptions!$F$19-((($H9*K$5-Assumptions!$F$9*Assumptions!$F$10)*(1+Assumptions!$F$8)^5)-(($H9*K$5-Assumptions!$F$9*Assumptions!$F$10)*(1+Assumptions!$F$8)^4))*Assumptions!$F$20)*(1+Assumptions!$F$23)/(Assumptions!$B$37-Assumptions!$F$23))/(1+Assumptions!$B$37)^5-DCF!$B$29)/DCF!$B$31)</x:f>
        <x:v>45.780472672623866</x:v>
      </x:c>
      <x:c r="L9" s="157"/>
      <x:c r="M9" s="157"/>
      <x:c r="N9" s="157"/>
      <x:c r="O9" s="157"/>
      <x:c r="P9" s="157"/>
      <x:c r="Q9" s="157"/>
      <x:c r="R9" s="157"/>
      <x:c r="S9" s="157"/>
    </x:row>
    <x:row r="10">
      <x:c r="A10" s="176" t="n">
        <x:v>0.1</x:v>
      </x:c>
      <x:c r="B10" s="165" t="n">
        <x:f>MAX(0,(SUMPRODUCT(DCF!$B$13:$F$13,1/(1+$A10)^DCF!$B$14:$F$14)+DCF!$F$13*(1+B$5)/($A10-B$5)/(1+$A10)^5-DCF!$B$29)/DCF!$B$31)</x:f>
        <x:v>26.452259519543322</x:v>
      </x:c>
      <x:c r="C10" s="165" t="n">
        <x:f>MAX(0,(SUMPRODUCT(DCF!$B$13:$F$13,1/(1+$A10)^DCF!$B$14:$F$14)+DCF!$F$13*(1+C$5)/($A10-C$5)/(1+$A10)^5-DCF!$B$29)/DCF!$B$31)</x:f>
        <x:v>27.974265649669864</x:v>
      </x:c>
      <x:c r="D10" s="165" t="n">
        <x:f>MAX(0,(SUMPRODUCT(DCF!$B$13:$F$13,1/(1+$A10)^DCF!$B$14:$F$14)+DCF!$F$13*(1+D$5)/($A10-D$5)/(1+$A10)^5-DCF!$B$29)/DCF!$B$31)</x:f>
        <x:v>29.69920593047993</x:v>
      </x:c>
      <x:c r="E10" s="165" t="n">
        <x:f>MAX(0,(SUMPRODUCT(DCF!$B$13:$F$13,1/(1+$A10)^DCF!$B$14:$F$14)+DCF!$F$13*(1+E$5)/($A10-E$5)/(1+$A10)^5-DCF!$B$29)/DCF!$B$31)</x:f>
        <x:v>31.670566251405738</x:v>
      </x:c>
      <x:c r="F10" s="165" t="n">
        <x:f>MAX(0,(SUMPRODUCT(DCF!$B$13:$F$13,1/(1+$A10)^DCF!$B$14:$F$14)+DCF!$F$13*(1+F$5)/($A10-F$5)/(1+$A10)^5-DCF!$B$29)/DCF!$B$31)</x:f>
        <x:v>33.945212775550885</x:v>
      </x:c>
      <x:c r="G10" s="157"/>
      <x:c r="H10" s="199" t="n">
        <x:v>8</x:v>
      </x:c>
      <x:c r="I10" s="165" t="n">
        <x:f>MAX(0,(DCF!$B$26+(((($H10*I$5-Assumptions!$F$9*Assumptions!$F$10)*(1+Assumptions!$F$8)^1)-(($H10-Assumptions!$F$9)*Assumptions!$F$16*(1+Assumptions!$F$15)^1))*(1-Assumptions!$F$21)-(($H10*I$5-Assumptions!$F$9*Assumptions!$F$10)*(1+Assumptions!$F$8)^1)*Assumptions!$F$19-((($H10*I$5-Assumptions!$F$9*Assumptions!$F$10)*(1+Assumptions!$F$8)^1)-0)*Assumptions!$F$20)/(1+Assumptions!$B$37)^1+(((($H10*I$5-Assumptions!$F$9*Assumptions!$F$10)*(1+Assumptions!$F$8)^2)-(($H10-Assumptions!$F$9)*Assumptions!$F$16*(1+Assumptions!$F$15)^2))*(1-Assumptions!$F$21)-(($H10*I$5-Assumptions!$F$9*Assumptions!$F$10)*(1+Assumptions!$F$8)^2)*Assumptions!$F$19-((($H10*I$5-Assumptions!$F$9*Assumptions!$F$10)*(1+Assumptions!$F$8)^2)-(($H10*I$5-Assumptions!$F$9*Assumptions!$F$10)*(1+Assumptions!$F$8)^1))*Assumptions!$F$20)/(1+Assumptions!$B$37)^2+(((($H10*I$5-Assumptions!$F$9*Assumptions!$F$10)*(1+Assumptions!$F$8)^3)-(($H10-Assumptions!$F$9)*Assumptions!$F$16*(1+Assumptions!$F$15)^3))*(1-Assumptions!$F$21)-(($H10*I$5-Assumptions!$F$9*Assumptions!$F$10)*(1+Assumptions!$F$8)^3)*Assumptions!$F$19-((($H10*I$5-Assumptions!$F$9*Assumptions!$F$10)*(1+Assumptions!$F$8)^3)-(($H10*I$5-Assumptions!$F$9*Assumptions!$F$10)*(1+Assumptions!$F$8)^2))*Assumptions!$F$20)/(1+Assumptions!$B$37)^3+(((($H10*I$5-Assumptions!$F$9*Assumptions!$F$10)*(1+Assumptions!$F$8)^4)-(($H10-Assumptions!$F$9)*Assumptions!$F$16*(1+Assumptions!$F$15)^4))*(1-Assumptions!$F$21)-(($H10*I$5-Assumptions!$F$9*Assumptions!$F$10)*(1+Assumptions!$F$8)^4)*Assumptions!$F$19-((($H10*I$5-Assumptions!$F$9*Assumptions!$F$10)*(1+Assumptions!$F$8)^4)-(($H10*I$5-Assumptions!$F$9*Assumptions!$F$10)*(1+Assumptions!$F$8)^3))*Assumptions!$F$20)/(1+Assumptions!$B$37)^4+(((($H10*I$5-Assumptions!$F$9*Assumptions!$F$10)*(1+Assumptions!$F$8)^5)-(($H10-Assumptions!$F$9)*Assumptions!$F$16*(1+Assumptions!$F$15)^5))*(1-Assumptions!$F$21)-(($H10*I$5-Assumptions!$F$9*Assumptions!$F$10)*(1+Assumptions!$F$8)^5)*Assumptions!$F$19-((($H10*I$5-Assumptions!$F$9*Assumptions!$F$10)*(1+Assumptions!$F$8)^5)-(($H10*I$5-Assumptions!$F$9*Assumptions!$F$10)*(1+Assumptions!$F$8)^4))*Assumptions!$F$20)/(1+Assumptions!$B$37)^5+((((($H10*I$5-Assumptions!$F$9*Assumptions!$F$10)*(1+Assumptions!$F$8)^5)-(($H10-Assumptions!$F$9)*Assumptions!$F$16*(1+Assumptions!$F$15)^5))*(1-Assumptions!$F$21)-(($H10*I$5-Assumptions!$F$9*Assumptions!$F$10)*(1+Assumptions!$F$8)^5)*Assumptions!$F$19-((($H10*I$5-Assumptions!$F$9*Assumptions!$F$10)*(1+Assumptions!$F$8)^5)-(($H10*I$5-Assumptions!$F$9*Assumptions!$F$10)*(1+Assumptions!$F$8)^4))*Assumptions!$F$20)*(1+Assumptions!$F$23)/(Assumptions!$B$37-Assumptions!$F$23))/(1+Assumptions!$B$37)^5-DCF!$B$29)/DCF!$B$31)</x:f>
        <x:v>37.36018600834988</x:v>
      </x:c>
      <x:c r="J10" s="165" t="n">
        <x:f>MAX(0,(DCF!$B$26+(((($H10*J$5-Assumptions!$F$9*Assumptions!$F$10)*(1+Assumptions!$F$8)^1)-(($H10-Assumptions!$F$9)*Assumptions!$F$16*(1+Assumptions!$F$15)^1))*(1-Assumptions!$F$21)-(($H10*J$5-Assumptions!$F$9*Assumptions!$F$10)*(1+Assumptions!$F$8)^1)*Assumptions!$F$19-((($H10*J$5-Assumptions!$F$9*Assumptions!$F$10)*(1+Assumptions!$F$8)^1)-0)*Assumptions!$F$20)/(1+Assumptions!$B$37)^1+(((($H10*J$5-Assumptions!$F$9*Assumptions!$F$10)*(1+Assumptions!$F$8)^2)-(($H10-Assumptions!$F$9)*Assumptions!$F$16*(1+Assumptions!$F$15)^2))*(1-Assumptions!$F$21)-(($H10*J$5-Assumptions!$F$9*Assumptions!$F$10)*(1+Assumptions!$F$8)^2)*Assumptions!$F$19-((($H10*J$5-Assumptions!$F$9*Assumptions!$F$10)*(1+Assumptions!$F$8)^2)-(($H10*J$5-Assumptions!$F$9*Assumptions!$F$10)*(1+Assumptions!$F$8)^1))*Assumptions!$F$20)/(1+Assumptions!$B$37)^2+(((($H10*J$5-Assumptions!$F$9*Assumptions!$F$10)*(1+Assumptions!$F$8)^3)-(($H10-Assumptions!$F$9)*Assumptions!$F$16*(1+Assumptions!$F$15)^3))*(1-Assumptions!$F$21)-(($H10*J$5-Assumptions!$F$9*Assumptions!$F$10)*(1+Assumptions!$F$8)^3)*Assumptions!$F$19-((($H10*J$5-Assumptions!$F$9*Assumptions!$F$10)*(1+Assumptions!$F$8)^3)-(($H10*J$5-Assumptions!$F$9*Assumptions!$F$10)*(1+Assumptions!$F$8)^2))*Assumptions!$F$20)/(1+Assumptions!$B$37)^3+(((($H10*J$5-Assumptions!$F$9*Assumptions!$F$10)*(1+Assumptions!$F$8)^4)-(($H10-Assumptions!$F$9)*Assumptions!$F$16*(1+Assumptions!$F$15)^4))*(1-Assumptions!$F$21)-(($H10*J$5-Assumptions!$F$9*Assumptions!$F$10)*(1+Assumptions!$F$8)^4)*Assumptions!$F$19-((($H10*J$5-Assumptions!$F$9*Assumptions!$F$10)*(1+Assumptions!$F$8)^4)-(($H10*J$5-Assumptions!$F$9*Assumptions!$F$10)*(1+Assumptions!$F$8)^3))*Assumptions!$F$20)/(1+Assumptions!$B$37)^4+(((($H10*J$5-Assumptions!$F$9*Assumptions!$F$10)*(1+Assumptions!$F$8)^5)-(($H10-Assumptions!$F$9)*Assumptions!$F$16*(1+Assumptions!$F$15)^5))*(1-Assumptions!$F$21)-(($H10*J$5-Assumptions!$F$9*Assumptions!$F$10)*(1+Assumptions!$F$8)^5)*Assumptions!$F$19-((($H10*J$5-Assumptions!$F$9*Assumptions!$F$10)*(1+Assumptions!$F$8)^5)-(($H10*J$5-Assumptions!$F$9*Assumptions!$F$10)*(1+Assumptions!$F$8)^4))*Assumptions!$F$20)/(1+Assumptions!$B$37)^5+((((($H10*J$5-Assumptions!$F$9*Assumptions!$F$10)*(1+Assumptions!$F$8)^5)-(($H10-Assumptions!$F$9)*Assumptions!$F$16*(1+Assumptions!$F$15)^5))*(1-Assumptions!$F$21)-(($H10*J$5-Assumptions!$F$9*Assumptions!$F$10)*(1+Assumptions!$F$8)^5)*Assumptions!$F$19-((($H10*J$5-Assumptions!$F$9*Assumptions!$F$10)*(1+Assumptions!$F$8)^5)-(($H10*J$5-Assumptions!$F$9*Assumptions!$F$10)*(1+Assumptions!$F$8)^4))*Assumptions!$F$20)*(1+Assumptions!$F$23)/(Assumptions!$B$37-Assumptions!$F$23))/(1+Assumptions!$B$37)^5-DCF!$B$29)/DCF!$B$31)</x:f>
        <x:v>45.183343914618526</x:v>
      </x:c>
      <x:c r="K10" s="165" t="n">
        <x:f>MAX(0,(DCF!$B$26+(((($H10*K$5-Assumptions!$F$9*Assumptions!$F$10)*(1+Assumptions!$F$8)^1)-(($H10-Assumptions!$F$9)*Assumptions!$F$16*(1+Assumptions!$F$15)^1))*(1-Assumptions!$F$21)-(($H10*K$5-Assumptions!$F$9*Assumptions!$F$10)*(1+Assumptions!$F$8)^1)*Assumptions!$F$19-((($H10*K$5-Assumptions!$F$9*Assumptions!$F$10)*(1+Assumptions!$F$8)^1)-0)*Assumptions!$F$20)/(1+Assumptions!$B$37)^1+(((($H10*K$5-Assumptions!$F$9*Assumptions!$F$10)*(1+Assumptions!$F$8)^2)-(($H10-Assumptions!$F$9)*Assumptions!$F$16*(1+Assumptions!$F$15)^2))*(1-Assumptions!$F$21)-(($H10*K$5-Assumptions!$F$9*Assumptions!$F$10)*(1+Assumptions!$F$8)^2)*Assumptions!$F$19-((($H10*K$5-Assumptions!$F$9*Assumptions!$F$10)*(1+Assumptions!$F$8)^2)-(($H10*K$5-Assumptions!$F$9*Assumptions!$F$10)*(1+Assumptions!$F$8)^1))*Assumptions!$F$20)/(1+Assumptions!$B$37)^2+(((($H10*K$5-Assumptions!$F$9*Assumptions!$F$10)*(1+Assumptions!$F$8)^3)-(($H10-Assumptions!$F$9)*Assumptions!$F$16*(1+Assumptions!$F$15)^3))*(1-Assumptions!$F$21)-(($H10*K$5-Assumptions!$F$9*Assumptions!$F$10)*(1+Assumptions!$F$8)^3)*Assumptions!$F$19-((($H10*K$5-Assumptions!$F$9*Assumptions!$F$10)*(1+Assumptions!$F$8)^3)-(($H10*K$5-Assumptions!$F$9*Assumptions!$F$10)*(1+Assumptions!$F$8)^2))*Assumptions!$F$20)/(1+Assumptions!$B$37)^3+(((($H10*K$5-Assumptions!$F$9*Assumptions!$F$10)*(1+Assumptions!$F$8)^4)-(($H10-Assumptions!$F$9)*Assumptions!$F$16*(1+Assumptions!$F$15)^4))*(1-Assumptions!$F$21)-(($H10*K$5-Assumptions!$F$9*Assumptions!$F$10)*(1+Assumptions!$F$8)^4)*Assumptions!$F$19-((($H10*K$5-Assumptions!$F$9*Assumptions!$F$10)*(1+Assumptions!$F$8)^4)-(($H10*K$5-Assumptions!$F$9*Assumptions!$F$10)*(1+Assumptions!$F$8)^3))*Assumptions!$F$20)/(1+Assumptions!$B$37)^4+(((($H10*K$5-Assumptions!$F$9*Assumptions!$F$10)*(1+Assumptions!$F$8)^5)-(($H10-Assumptions!$F$9)*Assumptions!$F$16*(1+Assumptions!$F$15)^5))*(1-Assumptions!$F$21)-(($H10*K$5-Assumptions!$F$9*Assumptions!$F$10)*(1+Assumptions!$F$8)^5)*Assumptions!$F$19-((($H10*K$5-Assumptions!$F$9*Assumptions!$F$10)*(1+Assumptions!$F$8)^5)-(($H10*K$5-Assumptions!$F$9*Assumptions!$F$10)*(1+Assumptions!$F$8)^4))*Assumptions!$F$20)/(1+Assumptions!$B$37)^5+((((($H10*K$5-Assumptions!$F$9*Assumptions!$F$10)*(1+Assumptions!$F$8)^5)-(($H10-Assumptions!$F$9)*Assumptions!$F$16*(1+Assumptions!$F$15)^5))*(1-Assumptions!$F$21)-(($H10*K$5-Assumptions!$F$9*Assumptions!$F$10)*(1+Assumptions!$F$8)^5)*Assumptions!$F$19-((($H10*K$5-Assumptions!$F$9*Assumptions!$F$10)*(1+Assumptions!$F$8)^5)-(($H10*K$5-Assumptions!$F$9*Assumptions!$F$10)*(1+Assumptions!$F$8)^4))*Assumptions!$F$20)*(1+Assumptions!$F$23)/(Assumptions!$B$37-Assumptions!$F$23))/(1+Assumptions!$B$37)^5-DCF!$B$29)/DCF!$B$31)</x:f>
        <x:v>53.006501820887166</x:v>
      </x:c>
      <x:c r="L10" s="157"/>
      <x:c r="M10" s="157"/>
      <x:c r="N10" s="157"/>
      <x:c r="O10" s="157"/>
      <x:c r="P10" s="157"/>
      <x:c r="Q10" s="157"/>
      <x:c r="R10" s="157"/>
      <x:c r="S10" s="157"/>
    </x:row>
    <x:row r="11">
      <x:c r="A11" s="176" t="n">
        <x:v>0.105</x:v>
      </x:c>
      <x:c r="B11" s="165" t="n">
        <x:f>MAX(0,(SUMPRODUCT(DCF!$B$13:$F$13,1/(1+$A11)^DCF!$B$14:$F$14)+DCF!$F$13*(1+B$5)/($A11-B$5)/(1+$A11)^5-DCF!$B$29)/DCF!$B$31)</x:f>
        <x:v>24.62060995896539</x:v>
      </x:c>
      <x:c r="C11" s="165" t="n">
        <x:f>MAX(0,(SUMPRODUCT(DCF!$B$13:$F$13,1/(1+$A11)^DCF!$B$14:$F$14)+DCF!$F$13*(1+C$5)/($A11-C$5)/(1+$A11)^5-DCF!$B$29)/DCF!$B$31)</x:f>
        <x:v>25.94918322055207</x:v>
      </x:c>
      <x:c r="D11" s="165" t="n">
        <x:f>MAX(0,(SUMPRODUCT(DCF!$B$13:$F$13,1/(1+$A11)^DCF!$B$14:$F$14)+DCF!$F$13*(1+D$5)/($A11-D$5)/(1+$A11)^5-DCF!$B$29)/DCF!$B$31)</x:f>
        <x:v>27.443828139837084</x:v>
      </x:c>
      <x:c r="E11" s="165" t="n">
        <x:f>MAX(0,(SUMPRODUCT(DCF!$B$13:$F$13,1/(1+$A11)^DCF!$B$14:$F$14)+DCF!$F$13*(1+E$5)/($A11-E$5)/(1+$A11)^5-DCF!$B$29)/DCF!$B$31)</x:f>
        <x:v>29.137759048360095</x:v>
      </x:c>
      <x:c r="F11" s="165" t="n">
        <x:f>MAX(0,(SUMPRODUCT(DCF!$B$13:$F$13,1/(1+$A11)^DCF!$B$14:$F$14)+DCF!$F$13*(1+F$5)/($A11-F$5)/(1+$A11)^5-DCF!$B$29)/DCF!$B$31)</x:f>
        <x:v>31.073680086672113</x:v>
      </x:c>
      <x:c r="G11" s="157"/>
      <x:c r="H11" s="199" t="n">
        <x:v>10</x:v>
      </x:c>
      <x:c r="I11" s="165" t="n">
        <x:f>MAX(0,(DCF!$B$26+(((($H11*I$5-Assumptions!$F$9*Assumptions!$F$10)*(1+Assumptions!$F$8)^1)-(($H11-Assumptions!$F$9)*Assumptions!$F$16*(1+Assumptions!$F$15)^1))*(1-Assumptions!$F$21)-(($H11*I$5-Assumptions!$F$9*Assumptions!$F$10)*(1+Assumptions!$F$8)^1)*Assumptions!$F$19-((($H11*I$5-Assumptions!$F$9*Assumptions!$F$10)*(1+Assumptions!$F$8)^1)-0)*Assumptions!$F$20)/(1+Assumptions!$B$37)^1+(((($H11*I$5-Assumptions!$F$9*Assumptions!$F$10)*(1+Assumptions!$F$8)^2)-(($H11-Assumptions!$F$9)*Assumptions!$F$16*(1+Assumptions!$F$15)^2))*(1-Assumptions!$F$21)-(($H11*I$5-Assumptions!$F$9*Assumptions!$F$10)*(1+Assumptions!$F$8)^2)*Assumptions!$F$19-((($H11*I$5-Assumptions!$F$9*Assumptions!$F$10)*(1+Assumptions!$F$8)^2)-(($H11*I$5-Assumptions!$F$9*Assumptions!$F$10)*(1+Assumptions!$F$8)^1))*Assumptions!$F$20)/(1+Assumptions!$B$37)^2+(((($H11*I$5-Assumptions!$F$9*Assumptions!$F$10)*(1+Assumptions!$F$8)^3)-(($H11-Assumptions!$F$9)*Assumptions!$F$16*(1+Assumptions!$F$15)^3))*(1-Assumptions!$F$21)-(($H11*I$5-Assumptions!$F$9*Assumptions!$F$10)*(1+Assumptions!$F$8)^3)*Assumptions!$F$19-((($H11*I$5-Assumptions!$F$9*Assumptions!$F$10)*(1+Assumptions!$F$8)^3)-(($H11*I$5-Assumptions!$F$9*Assumptions!$F$10)*(1+Assumptions!$F$8)^2))*Assumptions!$F$20)/(1+Assumptions!$B$37)^3+(((($H11*I$5-Assumptions!$F$9*Assumptions!$F$10)*(1+Assumptions!$F$8)^4)-(($H11-Assumptions!$F$9)*Assumptions!$F$16*(1+Assumptions!$F$15)^4))*(1-Assumptions!$F$21)-(($H11*I$5-Assumptions!$F$9*Assumptions!$F$10)*(1+Assumptions!$F$8)^4)*Assumptions!$F$19-((($H11*I$5-Assumptions!$F$9*Assumptions!$F$10)*(1+Assumptions!$F$8)^4)-(($H11*I$5-Assumptions!$F$9*Assumptions!$F$10)*(1+Assumptions!$F$8)^3))*Assumptions!$F$20)/(1+Assumptions!$B$37)^4+(((($H11*I$5-Assumptions!$F$9*Assumptions!$F$10)*(1+Assumptions!$F$8)^5)-(($H11-Assumptions!$F$9)*Assumptions!$F$16*(1+Assumptions!$F$15)^5))*(1-Assumptions!$F$21)-(($H11*I$5-Assumptions!$F$9*Assumptions!$F$10)*(1+Assumptions!$F$8)^5)*Assumptions!$F$19-((($H11*I$5-Assumptions!$F$9*Assumptions!$F$10)*(1+Assumptions!$F$8)^5)-(($H11*I$5-Assumptions!$F$9*Assumptions!$F$10)*(1+Assumptions!$F$8)^4))*Assumptions!$F$20)/(1+Assumptions!$B$37)^5+((((($H11*I$5-Assumptions!$F$9*Assumptions!$F$10)*(1+Assumptions!$F$8)^5)-(($H11-Assumptions!$F$9)*Assumptions!$F$16*(1+Assumptions!$F$15)^5))*(1-Assumptions!$F$21)-(($H11*I$5-Assumptions!$F$9*Assumptions!$F$10)*(1+Assumptions!$F$8)^5)*Assumptions!$F$19-((($H11*I$5-Assumptions!$F$9*Assumptions!$F$10)*(1+Assumptions!$F$8)^5)-(($H11*I$5-Assumptions!$F$9*Assumptions!$F$10)*(1+Assumptions!$F$8)^4))*Assumptions!$F$20)*(1+Assumptions!$F$23)/(Assumptions!$B$37-Assumptions!$F$23))/(1+Assumptions!$B$37)^5-DCF!$B$29)/DCF!$B$31)</x:f>
        <x:v>40.67463620347888</x:v>
      </x:c>
      <x:c r="J11" s="165" t="n">
        <x:f>MAX(0,(DCF!$B$26+(((($H11*J$5-Assumptions!$F$9*Assumptions!$F$10)*(1+Assumptions!$F$8)^1)-(($H11-Assumptions!$F$9)*Assumptions!$F$16*(1+Assumptions!$F$15)^1))*(1-Assumptions!$F$21)-(($H11*J$5-Assumptions!$F$9*Assumptions!$F$10)*(1+Assumptions!$F$8)^1)*Assumptions!$F$19-((($H11*J$5-Assumptions!$F$9*Assumptions!$F$10)*(1+Assumptions!$F$8)^1)-0)*Assumptions!$F$20)/(1+Assumptions!$B$37)^1+(((($H11*J$5-Assumptions!$F$9*Assumptions!$F$10)*(1+Assumptions!$F$8)^2)-(($H11-Assumptions!$F$9)*Assumptions!$F$16*(1+Assumptions!$F$15)^2))*(1-Assumptions!$F$21)-(($H11*J$5-Assumptions!$F$9*Assumptions!$F$10)*(1+Assumptions!$F$8)^2)*Assumptions!$F$19-((($H11*J$5-Assumptions!$F$9*Assumptions!$F$10)*(1+Assumptions!$F$8)^2)-(($H11*J$5-Assumptions!$F$9*Assumptions!$F$10)*(1+Assumptions!$F$8)^1))*Assumptions!$F$20)/(1+Assumptions!$B$37)^2+(((($H11*J$5-Assumptions!$F$9*Assumptions!$F$10)*(1+Assumptions!$F$8)^3)-(($H11-Assumptions!$F$9)*Assumptions!$F$16*(1+Assumptions!$F$15)^3))*(1-Assumptions!$F$21)-(($H11*J$5-Assumptions!$F$9*Assumptions!$F$10)*(1+Assumptions!$F$8)^3)*Assumptions!$F$19-((($H11*J$5-Assumptions!$F$9*Assumptions!$F$10)*(1+Assumptions!$F$8)^3)-(($H11*J$5-Assumptions!$F$9*Assumptions!$F$10)*(1+Assumptions!$F$8)^2))*Assumptions!$F$20)/(1+Assumptions!$B$37)^3+(((($H11*J$5-Assumptions!$F$9*Assumptions!$F$10)*(1+Assumptions!$F$8)^4)-(($H11-Assumptions!$F$9)*Assumptions!$F$16*(1+Assumptions!$F$15)^4))*(1-Assumptions!$F$21)-(($H11*J$5-Assumptions!$F$9*Assumptions!$F$10)*(1+Assumptions!$F$8)^4)*Assumptions!$F$19-((($H11*J$5-Assumptions!$F$9*Assumptions!$F$10)*(1+Assumptions!$F$8)^4)-(($H11*J$5-Assumptions!$F$9*Assumptions!$F$10)*(1+Assumptions!$F$8)^3))*Assumptions!$F$20)/(1+Assumptions!$B$37)^4+(((($H11*J$5-Assumptions!$F$9*Assumptions!$F$10)*(1+Assumptions!$F$8)^5)-(($H11-Assumptions!$F$9)*Assumptions!$F$16*(1+Assumptions!$F$15)^5))*(1-Assumptions!$F$21)-(($H11*J$5-Assumptions!$F$9*Assumptions!$F$10)*(1+Assumptions!$F$8)^5)*Assumptions!$F$19-((($H11*J$5-Assumptions!$F$9*Assumptions!$F$10)*(1+Assumptions!$F$8)^5)-(($H11*J$5-Assumptions!$F$9*Assumptions!$F$10)*(1+Assumptions!$F$8)^4))*Assumptions!$F$20)/(1+Assumptions!$B$37)^5+((((($H11*J$5-Assumptions!$F$9*Assumptions!$F$10)*(1+Assumptions!$F$8)^5)-(($H11-Assumptions!$F$9)*Assumptions!$F$16*(1+Assumptions!$F$15)^5))*(1-Assumptions!$F$21)-(($H11*J$5-Assumptions!$F$9*Assumptions!$F$10)*(1+Assumptions!$F$8)^5)*Assumptions!$F$19-((($H11*J$5-Assumptions!$F$9*Assumptions!$F$10)*(1+Assumptions!$F$8)^5)-(($H11*J$5-Assumptions!$F$9*Assumptions!$F$10)*(1+Assumptions!$F$8)^4))*Assumptions!$F$20)*(1+Assumptions!$F$23)/(Assumptions!$B$37-Assumptions!$F$23))/(1+Assumptions!$B$37)^5-DCF!$B$29)/DCF!$B$31)</x:f>
        <x:v>50.453583586314686</x:v>
      </x:c>
      <x:c r="K11" s="165" t="n">
        <x:f>MAX(0,(DCF!$B$26+(((($H11*K$5-Assumptions!$F$9*Assumptions!$F$10)*(1+Assumptions!$F$8)^1)-(($H11-Assumptions!$F$9)*Assumptions!$F$16*(1+Assumptions!$F$15)^1))*(1-Assumptions!$F$21)-(($H11*K$5-Assumptions!$F$9*Assumptions!$F$10)*(1+Assumptions!$F$8)^1)*Assumptions!$F$19-((($H11*K$5-Assumptions!$F$9*Assumptions!$F$10)*(1+Assumptions!$F$8)^1)-0)*Assumptions!$F$20)/(1+Assumptions!$B$37)^1+(((($H11*K$5-Assumptions!$F$9*Assumptions!$F$10)*(1+Assumptions!$F$8)^2)-(($H11-Assumptions!$F$9)*Assumptions!$F$16*(1+Assumptions!$F$15)^2))*(1-Assumptions!$F$21)-(($H11*K$5-Assumptions!$F$9*Assumptions!$F$10)*(1+Assumptions!$F$8)^2)*Assumptions!$F$19-((($H11*K$5-Assumptions!$F$9*Assumptions!$F$10)*(1+Assumptions!$F$8)^2)-(($H11*K$5-Assumptions!$F$9*Assumptions!$F$10)*(1+Assumptions!$F$8)^1))*Assumptions!$F$20)/(1+Assumptions!$B$37)^2+(((($H11*K$5-Assumptions!$F$9*Assumptions!$F$10)*(1+Assumptions!$F$8)^3)-(($H11-Assumptions!$F$9)*Assumptions!$F$16*(1+Assumptions!$F$15)^3))*(1-Assumptions!$F$21)-(($H11*K$5-Assumptions!$F$9*Assumptions!$F$10)*(1+Assumptions!$F$8)^3)*Assumptions!$F$19-((($H11*K$5-Assumptions!$F$9*Assumptions!$F$10)*(1+Assumptions!$F$8)^3)-(($H11*K$5-Assumptions!$F$9*Assumptions!$F$10)*(1+Assumptions!$F$8)^2))*Assumptions!$F$20)/(1+Assumptions!$B$37)^3+(((($H11*K$5-Assumptions!$F$9*Assumptions!$F$10)*(1+Assumptions!$F$8)^4)-(($H11-Assumptions!$F$9)*Assumptions!$F$16*(1+Assumptions!$F$15)^4))*(1-Assumptions!$F$21)-(($H11*K$5-Assumptions!$F$9*Assumptions!$F$10)*(1+Assumptions!$F$8)^4)*Assumptions!$F$19-((($H11*K$5-Assumptions!$F$9*Assumptions!$F$10)*(1+Assumptions!$F$8)^4)-(($H11*K$5-Assumptions!$F$9*Assumptions!$F$10)*(1+Assumptions!$F$8)^3))*Assumptions!$F$20)/(1+Assumptions!$B$37)^4+(((($H11*K$5-Assumptions!$F$9*Assumptions!$F$10)*(1+Assumptions!$F$8)^5)-(($H11-Assumptions!$F$9)*Assumptions!$F$16*(1+Assumptions!$F$15)^5))*(1-Assumptions!$F$21)-(($H11*K$5-Assumptions!$F$9*Assumptions!$F$10)*(1+Assumptions!$F$8)^5)*Assumptions!$F$19-((($H11*K$5-Assumptions!$F$9*Assumptions!$F$10)*(1+Assumptions!$F$8)^5)-(($H11*K$5-Assumptions!$F$9*Assumptions!$F$10)*(1+Assumptions!$F$8)^4))*Assumptions!$F$20)/(1+Assumptions!$B$37)^5+((((($H11*K$5-Assumptions!$F$9*Assumptions!$F$10)*(1+Assumptions!$F$8)^5)-(($H11-Assumptions!$F$9)*Assumptions!$F$16*(1+Assumptions!$F$15)^5))*(1-Assumptions!$F$21)-(($H11*K$5-Assumptions!$F$9*Assumptions!$F$10)*(1+Assumptions!$F$8)^5)*Assumptions!$F$19-((($H11*K$5-Assumptions!$F$9*Assumptions!$F$10)*(1+Assumptions!$F$8)^5)-(($H11*K$5-Assumptions!$F$9*Assumptions!$F$10)*(1+Assumptions!$F$8)^4))*Assumptions!$F$20)*(1+Assumptions!$F$23)/(Assumptions!$B$37-Assumptions!$F$23))/(1+Assumptions!$B$37)^5-DCF!$B$29)/DCF!$B$31)</x:f>
        <x:v>60.232530969150496</x:v>
      </x:c>
      <x:c r="L11" s="157"/>
      <x:c r="M11" s="157"/>
      <x:c r="N11" s="157"/>
      <x:c r="O11" s="157"/>
      <x:c r="P11" s="157"/>
      <x:c r="Q11" s="157"/>
      <x:c r="R11" s="157"/>
      <x:c r="S11" s="157"/>
    </x:row>
    <x:row r="12">
      <x:c r="A12" s="176" t="n">
        <x:v>0.11</x:v>
      </x:c>
      <x:c r="B12" s="165" t="n">
        <x:f>MAX(0,(SUMPRODUCT(DCF!$B$13:$F$13,1/(1+$A12)^DCF!$B$14:$F$14)+DCF!$F$13*(1+B$5)/($A12-B$5)/(1+$A12)^5-DCF!$B$29)/DCF!$B$31)</x:f>
        <x:v>22.98487414121053</x:v>
      </x:c>
      <x:c r="C12" s="165" t="n">
        <x:f>MAX(0,(SUMPRODUCT(DCF!$B$13:$F$13,1/(1+$A12)^DCF!$B$14:$F$14)+DCF!$F$13*(1+C$5)/($A12-C$5)/(1+$A12)^5-DCF!$B$29)/DCF!$B$31)</x:f>
        <x:v>24.152323430434667</x:v>
      </x:c>
      <x:c r="D12" s="165" t="n">
        <x:f>MAX(0,(SUMPRODUCT(DCF!$B$13:$F$13,1/(1+$A12)^DCF!$B$14:$F$14)+DCF!$F$13*(1+D$5)/($A12-D$5)/(1+$A12)^5-DCF!$B$29)/DCF!$B$31)</x:f>
        <x:v>25.457119694861635</x:v>
      </x:c>
      <x:c r="E12" s="165" t="n">
        <x:f>MAX(0,(SUMPRODUCT(DCF!$B$13:$F$13,1/(1+$A12)^DCF!$B$14:$F$14)+DCF!$F$13*(1+E$5)/($A12-E$5)/(1+$A12)^5-DCF!$B$29)/DCF!$B$31)</x:f>
        <x:v>26.925015492341977</x:v>
      </x:c>
      <x:c r="F12" s="165" t="n">
        <x:f>MAX(0,(SUMPRODUCT(DCF!$B$13:$F$13,1/(1+$A12)^DCF!$B$14:$F$14)+DCF!$F$13*(1+F$5)/($A12-F$5)/(1+$A12)^5-DCF!$B$29)/DCF!$B$31)</x:f>
        <x:v>28.58863072948636</x:v>
      </x:c>
      <x:c r="G12" s="157"/>
      <x:c r="H12" s="157"/>
      <x:c r="I12" s="157"/>
      <x:c r="J12" s="157"/>
      <x:c r="K12" s="157"/>
      <x:c r="L12" s="157"/>
      <x:c r="M12" s="157"/>
      <x:c r="N12" s="157"/>
      <x:c r="O12" s="157"/>
      <x:c r="P12" s="157"/>
      <x:c r="Q12" s="157"/>
      <x:c r="R12" s="157"/>
      <x:c r="S12" s="157"/>
    </x:row>
    <x:row r="13">
      <x:c r="A13" s="157"/>
      <x:c r="B13" s="157"/>
      <x:c r="C13" s="157"/>
      <x:c r="D13" s="157"/>
      <x:c r="E13" s="157"/>
      <x:c r="F13" s="157"/>
      <x:c r="G13" s="157"/>
      <x:c r="H13" s="157"/>
      <x:c r="I13" s="157"/>
      <x:c r="J13" s="157"/>
      <x:c r="K13" s="157"/>
      <x:c r="L13" s="157"/>
      <x:c r="M13" s="157"/>
      <x:c r="N13" s="157"/>
      <x:c r="O13" s="157"/>
      <x:c r="P13" s="157"/>
      <x:c r="Q13" s="157"/>
      <x:c r="R13" s="157"/>
      <x:c r="S13" s="157"/>
    </x:row>
    <x:row r="14">
      <x:c r="A14" s="157"/>
      <x:c r="B14" s="157"/>
      <x:c r="C14" s="157"/>
      <x:c r="D14" s="157"/>
      <x:c r="E14" s="157"/>
      <x:c r="F14" s="157"/>
      <x:c r="G14" s="157"/>
      <x:c r="H14" s="157"/>
      <x:c r="I14" s="157"/>
      <x:c r="J14" s="157"/>
      <x:c r="K14" s="157"/>
      <x:c r="L14" s="157"/>
      <x:c r="M14" s="157"/>
      <x:c r="N14" s="157"/>
      <x:c r="O14" s="157"/>
      <x:c r="P14" s="157"/>
      <x:c r="Q14" s="157"/>
      <x:c r="R14" s="157"/>
      <x:c r="S14" s="157"/>
    </x:row>
    <x:row r="15" ht="20" customHeight="1">
      <x:c r="A15" s="14" t="str">
        <x:v>Case comparison</x:v>
      </x:c>
      <x:c r="B15" s="14"/>
      <x:c r="C15" s="14"/>
      <x:c r="D15" s="14"/>
      <x:c r="E15" s="14"/>
      <x:c r="F15" s="14"/>
      <x:c r="G15" s="157"/>
      <x:c r="H15" s="157"/>
      <x:c r="I15" s="157"/>
      <x:c r="J15" s="157"/>
      <x:c r="K15" s="157"/>
      <x:c r="L15" s="157"/>
      <x:c r="M15" s="157"/>
      <x:c r="N15" s="157"/>
      <x:c r="O15" s="157"/>
      <x:c r="P15" s="157"/>
      <x:c r="Q15" s="157"/>
      <x:c r="R15" s="157"/>
      <x:c r="S15" s="157"/>
    </x:row>
    <x:row r="16">
      <x:c r="A16" s="19" t="str">
        <x:v>Case</x:v>
      </x:c>
      <x:c r="B16" s="19" t="str">
        <x:v>FY2027E revenue</x:v>
      </x:c>
      <x:c r="C16" s="19" t="str">
        <x:v>FY2031E EBIT margin</x:v>
      </x:c>
      <x:c r="D16" s="19" t="str">
        <x:v>Enterprise value</x:v>
      </x:c>
      <x:c r="E16" s="19" t="str">
        <x:v>Equity value</x:v>
      </x:c>
      <x:c r="F16" s="19" t="str">
        <x:v>Value per share</x:v>
      </x:c>
      <x:c r="G16" s="157"/>
      <x:c r="H16" s="157"/>
      <x:c r="I16" s="157"/>
      <x:c r="J16" s="157"/>
      <x:c r="K16" s="157"/>
      <x:c r="L16" s="157"/>
      <x:c r="M16" s="157"/>
      <x:c r="N16" s="157"/>
      <x:c r="O16" s="157"/>
      <x:c r="P16" s="157"/>
      <x:c r="Q16" s="157"/>
      <x:c r="R16" s="157"/>
      <x:c r="S16" s="157"/>
    </x:row>
    <x:row r="17">
      <x:c r="A17" s="157" t="str">
        <x:v>Downside</x:v>
      </x:c>
      <x:c r="B17" s="159" t="n">
        <x:f>C29</x:f>
        <x:v>669.13837</x:v>
      </x:c>
      <x:c r="C17" s="176" t="n">
        <x:f>G35</x:f>
        <x:v>0.025764812437147074</x:v>
      </x:c>
      <x:c r="D17" s="159" t="n">
        <x:f>C43</x:f>
        <x:v>139.83232315473504</x:v>
      </x:c>
      <x:c r="E17" s="159" t="n">
        <x:f>MAX(0,D17-DCF!$B$29)</x:f>
        <x:v>62.183323154735035</x:v>
      </x:c>
      <x:c r="F17" s="165" t="n">
        <x:f>E17/DCF!$B$31</x:f>
        <x:v>2.568391357429889</x:v>
      </x:c>
      <x:c r="G17" s="157"/>
      <x:c r="H17" s="157"/>
      <x:c r="I17" s="157"/>
      <x:c r="J17" s="157"/>
      <x:c r="K17" s="157"/>
      <x:c r="L17" s="157"/>
      <x:c r="M17" s="157"/>
      <x:c r="N17" s="157"/>
      <x:c r="O17" s="157"/>
      <x:c r="P17" s="157"/>
      <x:c r="Q17" s="157"/>
      <x:c r="R17" s="157"/>
      <x:c r="S17" s="157"/>
    </x:row>
    <x:row r="18">
      <x:c r="A18" s="166" t="str">
        <x:v>Base</x:v>
      </x:c>
      <x:c r="B18" s="167" t="n">
        <x:f>I29</x:f>
        <x:v>722.361475</x:v>
      </x:c>
      <x:c r="C18" s="201" t="n">
        <x:f>M35</x:f>
        <x:v>0.12127687360159896</x:v>
      </x:c>
      <x:c r="D18" s="167" t="n">
        <x:f>I43</x:f>
        <x:v>916.3873941339575</x:v>
      </x:c>
      <x:c r="E18" s="167" t="n">
        <x:f>MAX(0,D18-DCF!$B$29)</x:f>
        <x:v>838.7383941339575</x:v>
      </x:c>
      <x:c r="F18" s="168" t="n">
        <x:f>E18/DCF!$B$31</x:f>
        <x:v>34.6428645712262</x:v>
      </x:c>
      <x:c r="G18" s="157"/>
      <x:c r="H18" s="157"/>
      <x:c r="I18" s="157"/>
      <x:c r="J18" s="157"/>
      <x:c r="K18" s="157"/>
      <x:c r="L18" s="157"/>
      <x:c r="M18" s="157"/>
      <x:c r="N18" s="157"/>
      <x:c r="O18" s="157"/>
      <x:c r="P18" s="157"/>
      <x:c r="Q18" s="157"/>
      <x:c r="R18" s="157"/>
      <x:c r="S18" s="157"/>
    </x:row>
    <x:row r="19">
      <x:c r="A19" s="157" t="str">
        <x:v>Upside</x:v>
      </x:c>
      <x:c r="B19" s="159" t="n">
        <x:f>O29</x:f>
        <x:v>798.2457800000001</x:v>
      </x:c>
      <x:c r="C19" s="176" t="n">
        <x:f>S35</x:f>
        <x:v>0.2872091102606658</x:v>
      </x:c>
      <x:c r="D19" s="159" t="n">
        <x:f>O43</x:f>
        <x:v>3186.938098233365</x:v>
      </x:c>
      <x:c r="E19" s="159" t="n">
        <x:f>MAX(0,D19-DCF!$B$29)</x:f>
        <x:v>3109.289098233365</x:v>
      </x:c>
      <x:c r="F19" s="165" t="n">
        <x:f>E19/DCF!$B$31</x:f>
        <x:v>128.4246457491787</x:v>
      </x:c>
      <x:c r="G19" s="157"/>
      <x:c r="H19" s="157"/>
      <x:c r="I19" s="157"/>
      <x:c r="J19" s="157"/>
      <x:c r="K19" s="157"/>
      <x:c r="L19" s="157"/>
      <x:c r="M19" s="157"/>
      <x:c r="N19" s="157"/>
      <x:c r="O19" s="157"/>
      <x:c r="P19" s="157"/>
      <x:c r="Q19" s="157"/>
      <x:c r="R19" s="157"/>
      <x:c r="S19" s="157"/>
    </x:row>
    <x:row r="20">
      <x:c r="A20" s="157"/>
      <x:c r="B20" s="157"/>
      <x:c r="C20" s="157"/>
      <x:c r="D20" s="157"/>
      <x:c r="E20" s="157"/>
      <x:c r="F20" s="157"/>
      <x:c r="G20" s="157"/>
      <x:c r="H20" s="157"/>
      <x:c r="I20" s="157"/>
      <x:c r="J20" s="157"/>
      <x:c r="K20" s="157"/>
      <x:c r="L20" s="157"/>
      <x:c r="M20" s="157"/>
      <x:c r="N20" s="157"/>
      <x:c r="O20" s="157"/>
      <x:c r="P20" s="157"/>
      <x:c r="Q20" s="157"/>
      <x:c r="R20" s="157"/>
      <x:c r="S20" s="157"/>
    </x:row>
    <x:row r="21">
      <x:c r="A21" s="157"/>
      <x:c r="B21" s="157"/>
      <x:c r="C21" s="157"/>
      <x:c r="D21" s="157"/>
      <x:c r="E21" s="157"/>
      <x:c r="F21" s="157"/>
      <x:c r="G21" s="157"/>
      <x:c r="H21" s="157"/>
      <x:c r="I21" s="157"/>
      <x:c r="J21" s="157"/>
      <x:c r="K21" s="157"/>
      <x:c r="L21" s="157"/>
      <x:c r="M21" s="157"/>
      <x:c r="N21" s="157"/>
      <x:c r="O21" s="157"/>
      <x:c r="P21" s="157"/>
      <x:c r="Q21" s="157"/>
      <x:c r="R21" s="157"/>
      <x:c r="S21" s="157"/>
    </x:row>
    <x:row r="22">
      <x:c r="A22" s="157"/>
      <x:c r="B22" s="157"/>
      <x:c r="C22" s="14" t="str">
        <x:v>Downside scenario engine ($mm)</x:v>
      </x:c>
      <x:c r="D22" s="14"/>
      <x:c r="E22" s="14"/>
      <x:c r="F22" s="14"/>
      <x:c r="G22" s="14"/>
      <x:c r="H22" s="157"/>
      <x:c r="I22" s="14" t="str">
        <x:v>Base scenario engine ($mm)</x:v>
      </x:c>
      <x:c r="J22" s="14"/>
      <x:c r="K22" s="14"/>
      <x:c r="L22" s="14"/>
      <x:c r="M22" s="14"/>
      <x:c r="N22" s="157"/>
      <x:c r="O22" s="14" t="str">
        <x:v>Upside scenario engine ($mm)</x:v>
      </x:c>
      <x:c r="P22" s="14"/>
      <x:c r="Q22" s="14"/>
      <x:c r="R22" s="14"/>
      <x:c r="S22" s="14"/>
    </x:row>
    <x:row r="23">
      <x:c r="A23" s="157"/>
      <x:c r="B23" s="157"/>
      <x:c r="C23" s="19" t="str">
        <x:v>FY2027E</x:v>
      </x:c>
      <x:c r="D23" s="19" t="str">
        <x:v>FY2028E</x:v>
      </x:c>
      <x:c r="E23" s="19" t="str">
        <x:v>FY2029E</x:v>
      </x:c>
      <x:c r="F23" s="19" t="str">
        <x:v>FY2030E</x:v>
      </x:c>
      <x:c r="G23" s="19" t="str">
        <x:v>FY2031E</x:v>
      </x:c>
      <x:c r="H23" s="157"/>
      <x:c r="I23" s="19" t="str">
        <x:v>FY2027E</x:v>
      </x:c>
      <x:c r="J23" s="19" t="str">
        <x:v>FY2028E</x:v>
      </x:c>
      <x:c r="K23" s="19" t="str">
        <x:v>FY2029E</x:v>
      </x:c>
      <x:c r="L23" s="19" t="str">
        <x:v>FY2030E</x:v>
      </x:c>
      <x:c r="M23" s="19" t="str">
        <x:v>FY2031E</x:v>
      </x:c>
      <x:c r="N23" s="157"/>
      <x:c r="O23" s="19" t="str">
        <x:v>FY2027E</x:v>
      </x:c>
      <x:c r="P23" s="19" t="str">
        <x:v>FY2028E</x:v>
      </x:c>
      <x:c r="Q23" s="19" t="str">
        <x:v>FY2029E</x:v>
      </x:c>
      <x:c r="R23" s="19" t="str">
        <x:v>FY2030E</x:v>
      </x:c>
      <x:c r="S23" s="19" t="str">
        <x:v>FY2031E</x:v>
      </x:c>
    </x:row>
    <x:row r="24">
      <x:c r="A24" s="157" t="str">
        <x:v>Regular event base</x:v>
      </x:c>
      <x:c r="B24" s="157"/>
      <x:c r="C24" s="159" t="n">
        <x:f>'Operating Model'!$D$72*(1+Assumptions!$B$8)</x:f>
        <x:v>235.87438999999998</x:v>
      </x:c>
      <x:c r="D24" s="159" t="n">
        <x:f>C24*(1+Assumptions!$B$8)</x:f>
        <x:v>238.23313389999998</x:v>
      </x:c>
      <x:c r="E24" s="159" t="n">
        <x:f>D24*(1+Assumptions!$B$8)</x:f>
        <x:v>240.61546523899997</x:v>
      </x:c>
      <x:c r="F24" s="159" t="n">
        <x:f>E24*(1+Assumptions!$B$8)</x:f>
        <x:v>243.02161989138997</x:v>
      </x:c>
      <x:c r="G24" s="159" t="n">
        <x:f>F24*(1+Assumptions!$B$8)</x:f>
        <x:v>245.45183609030389</x:v>
      </x:c>
      <x:c r="H24" s="157"/>
      <x:c r="I24" s="159" t="n">
        <x:f>'Operating Model'!$D$72*(1+Assumptions!$C$8)</x:f>
        <x:v>240.54516999999998</x:v>
      </x:c>
      <x:c r="J24" s="159" t="n">
        <x:f>I24*(1+Assumptions!$C$8)</x:f>
        <x:v>247.7615251</x:v>
      </x:c>
      <x:c r="K24" s="159" t="n">
        <x:f>J24*(1+Assumptions!$C$8)</x:f>
        <x:v>255.194370853</x:v>
      </x:c>
      <x:c r="L24" s="159" t="n">
        <x:f>K24*(1+Assumptions!$C$8)</x:f>
        <x:v>262.85020197859</x:v>
      </x:c>
      <x:c r="M24" s="159" t="n">
        <x:f>L24*(1+Assumptions!$C$8)</x:f>
        <x:v>270.7357080379477</x:v>
      </x:c>
      <x:c r="N24" s="157"/>
      <x:c r="O24" s="159" t="n">
        <x:f>'Operating Model'!$D$72*(1+Assumptions!$D$8)</x:f>
        <x:v>245.21595</x:v>
      </x:c>
      <x:c r="P24" s="159" t="n">
        <x:f>O24*(1+Assumptions!$D$8)</x:f>
        <x:v>257.4767475</x:v>
      </x:c>
      <x:c r="Q24" s="159" t="n">
        <x:f>P24*(1+Assumptions!$D$8)</x:f>
        <x:v>270.350584875</x:v>
      </x:c>
      <x:c r="R24" s="159" t="n">
        <x:f>Q24*(1+Assumptions!$D$8)</x:f>
        <x:v>283.86811411875</x:v>
      </x:c>
      <x:c r="S24" s="159" t="n">
        <x:f>R24*(1+Assumptions!$D$8)</x:f>
        <x:v>298.0615198246875</x:v>
      </x:c>
    </x:row>
    <x:row r="25">
      <x:c r="A25" s="157" t="str">
        <x:v>Playoff revenue</x:v>
      </x:c>
      <x:c r="B25" s="157"/>
      <x:c r="C25" s="159" t="n">
        <x:f>Assumptions!$B$9*Assumptions!$B$10*(1+Assumptions!$B$8)^1</x:f>
        <x:v>0</x:v>
      </x:c>
      <x:c r="D25" s="159" t="n">
        <x:f>Assumptions!$B$9*Assumptions!$B$10*(1+Assumptions!$B$8)^2</x:f>
        <x:v>0</x:v>
      </x:c>
      <x:c r="E25" s="159" t="n">
        <x:f>Assumptions!$B$9*Assumptions!$B$10*(1+Assumptions!$B$8)^3</x:f>
        <x:v>0</x:v>
      </x:c>
      <x:c r="F25" s="159" t="n">
        <x:f>Assumptions!$B$9*Assumptions!$B$10*(1+Assumptions!$B$8)^4</x:f>
        <x:v>0</x:v>
      </x:c>
      <x:c r="G25" s="159" t="n">
        <x:f>Assumptions!$B$9*Assumptions!$B$10*(1+Assumptions!$B$8)^5</x:f>
        <x:v>0</x:v>
      </x:c>
      <x:c r="H25" s="157"/>
      <x:c r="I25" s="159" t="n">
        <x:f>Assumptions!$C$9*Assumptions!$C$10*(1+Assumptions!$C$8)^1</x:f>
        <x:v>41.2</x:v>
      </x:c>
      <x:c r="J25" s="159" t="n">
        <x:f>Assumptions!$C$9*Assumptions!$C$10*(1+Assumptions!$C$8)^2</x:f>
        <x:v>42.436</x:v>
      </x:c>
      <x:c r="K25" s="159" t="n">
        <x:f>Assumptions!$C$9*Assumptions!$C$10*(1+Assumptions!$C$8)^3</x:f>
        <x:v>43.70908</x:v>
      </x:c>
      <x:c r="L25" s="159" t="n">
        <x:f>Assumptions!$C$9*Assumptions!$C$10*(1+Assumptions!$C$8)^4</x:f>
        <x:v>45.02035240000001</x:v>
      </x:c>
      <x:c r="M25" s="159" t="n">
        <x:f>Assumptions!$C$9*Assumptions!$C$10*(1+Assumptions!$C$8)^5</x:f>
        <x:v>46.370962972</x:v>
      </x:c>
      <x:c r="N25" s="157"/>
      <x:c r="O25" s="159" t="n">
        <x:f>Assumptions!$D$9*Assumptions!$D$10*(1+Assumptions!$D$8)^1</x:f>
        <x:v>100.80000000000001</x:v>
      </x:c>
      <x:c r="P25" s="159" t="n">
        <x:f>Assumptions!$D$9*Assumptions!$D$10*(1+Assumptions!$D$8)^2</x:f>
        <x:v>105.84</x:v>
      </x:c>
      <x:c r="Q25" s="159" t="n">
        <x:f>Assumptions!$D$9*Assumptions!$D$10*(1+Assumptions!$D$8)^3</x:f>
        <x:v>111.132</x:v>
      </x:c>
      <x:c r="R25" s="159" t="n">
        <x:f>Assumptions!$D$9*Assumptions!$D$10*(1+Assumptions!$D$8)^4</x:f>
        <x:v>116.68860000000002</x:v>
      </x:c>
      <x:c r="S25" s="159" t="n">
        <x:f>Assumptions!$D$9*Assumptions!$D$10*(1+Assumptions!$D$8)^5</x:f>
        <x:v>122.52303000000003</x:v>
      </x:c>
    </x:row>
    <x:row r="26">
      <x:c r="A26" s="157" t="str">
        <x:v>Media rights</x:v>
      </x:c>
      <x:c r="B26" s="157"/>
      <x:c r="C26" s="159" t="n">
        <x:f>'Operating Model'!$D$74*(1+Assumptions!$B$11)</x:f>
        <x:v>236.35515</x:v>
      </x:c>
      <x:c r="D26" s="159" t="n">
        <x:f>C26*(1+Assumptions!$B$11)</x:f>
        <x:v>238.7187015</x:v>
      </x:c>
      <x:c r="E26" s="159" t="n">
        <x:f>D26*(1+Assumptions!$B$11)</x:f>
        <x:v>241.105888515</x:v>
      </x:c>
      <x:c r="F26" s="159" t="n">
        <x:f>E26*(1+Assumptions!$B$11)*(1+Assumptions!$B$12)</x:f>
        <x:v>219.165252660135</x:v>
      </x:c>
      <x:c r="G26" s="159" t="n">
        <x:f>F26*(1+Assumptions!$B$11)</x:f>
        <x:v>221.35690518673636</x:v>
      </x:c>
      <x:c r="H26" s="157"/>
      <x:c r="I26" s="159" t="n">
        <x:f>'Operating Model'!$D$74*(1+Assumptions!$C$11)</x:f>
        <x:v>239.865375</x:v>
      </x:c>
      <x:c r="J26" s="159" t="n">
        <x:f>I26*(1+Assumptions!$C$11)</x:f>
        <x:v>245.86200937499999</x:v>
      </x:c>
      <x:c r="K26" s="159" t="n">
        <x:f>J26*(1+Assumptions!$C$11)</x:f>
        <x:v>252.00855960937497</x:v>
      </x:c>
      <x:c r="L26" s="159" t="n">
        <x:f>K26*(1+Assumptions!$C$11)*(1+Assumptions!$C$12)</x:f>
        <x:v>258.3087735996093</x:v>
      </x:c>
      <x:c r="M26" s="159" t="n">
        <x:f>L26*(1+Assumptions!$C$11)</x:f>
        <x:v>264.7664929395995</x:v>
      </x:c>
      <x:c r="N26" s="157"/>
      <x:c r="O26" s="159" t="n">
        <x:f>'Operating Model'!$D$74*(1+Assumptions!$D$11)</x:f>
        <x:v>245.71575</x:v>
      </x:c>
      <x:c r="P26" s="159" t="n">
        <x:f>O26*(1+Assumptions!$D$11)</x:f>
        <x:v>258.00153750000004</x:v>
      </x:c>
      <x:c r="Q26" s="159" t="n">
        <x:f>P26*(1+Assumptions!$D$11)</x:f>
        <x:v>270.90161437500007</x:v>
      </x:c>
      <x:c r="R26" s="159" t="n">
        <x:f>Q26*(1+Assumptions!$D$11)*(1+Assumptions!$D$12)</x:f>
        <x:v>312.8913646031251</x:v>
      </x:c>
      <x:c r="S26" s="159" t="n">
        <x:f>R26*(1+Assumptions!$D$11)</x:f>
        <x:v>328.5359328332814</x:v>
      </x:c>
    </x:row>
    <x:row r="27">
      <x:c r="A27" s="157" t="str">
        <x:v>Sponsorship / suites</x:v>
      </x:c>
      <x:c r="B27" s="157"/>
      <x:c r="C27" s="159" t="n">
        <x:f>'Operating Model'!$D$75*(1+Assumptions!$B$13)</x:f>
        <x:v>148.46317000000002</x:v>
      </x:c>
      <x:c r="D27" s="159" t="n">
        <x:f>C27*(1+Assumptions!$B$13)</x:f>
        <x:v>152.91706510000003</x:v>
      </x:c>
      <x:c r="E27" s="159" t="n">
        <x:f>D27*(1+Assumptions!$B$13)</x:f>
        <x:v>157.50457705300005</x:v>
      </x:c>
      <x:c r="F27" s="159" t="n">
        <x:f>E27*(1+Assumptions!$B$13)</x:f>
        <x:v>162.22971436459005</x:v>
      </x:c>
      <x:c r="G27" s="159" t="n">
        <x:f>F27*(1+Assumptions!$B$13)</x:f>
        <x:v>167.09660579552775</x:v>
      </x:c>
      <x:c r="H27" s="157"/>
      <x:c r="I27" s="159" t="n">
        <x:f>'Operating Model'!$D$75*(1+Assumptions!$C$13)</x:f>
        <x:v>151.34595000000002</x:v>
      </x:c>
      <x:c r="J27" s="159" t="n">
        <x:f>I27*(1+Assumptions!$C$13)</x:f>
        <x:v>158.9132475</x:v>
      </x:c>
      <x:c r="K27" s="159" t="n">
        <x:f>J27*(1+Assumptions!$C$13)</x:f>
        <x:v>166.85890987500002</x:v>
      </x:c>
      <x:c r="L27" s="159" t="n">
        <x:f>K27*(1+Assumptions!$C$13)</x:f>
        <x:v>175.20185536875005</x:v>
      </x:c>
      <x:c r="M27" s="159" t="n">
        <x:f>L27*(1+Assumptions!$C$13)</x:f>
        <x:v>183.96194813718756</x:v>
      </x:c>
      <x:c r="N27" s="157"/>
      <x:c r="O27" s="159" t="n">
        <x:f>'Operating Model'!$D$75*(1+Assumptions!$D$13)</x:f>
        <x:v>155.67012000000003</x:v>
      </x:c>
      <x:c r="P27" s="159" t="n">
        <x:f>O27*(1+Assumptions!$D$13)</x:f>
        <x:v>168.12372960000005</x:v>
      </x:c>
      <x:c r="Q27" s="159" t="n">
        <x:f>P27*(1+Assumptions!$D$13)</x:f>
        <x:v>181.57362796800007</x:v>
      </x:c>
      <x:c r="R27" s="159" t="n">
        <x:f>Q27*(1+Assumptions!$D$13)</x:f>
        <x:v>196.0995182054401</x:v>
      </x:c>
      <x:c r="S27" s="159" t="n">
        <x:f>R27*(1+Assumptions!$D$13)</x:f>
        <x:v>211.78747966187532</x:v>
      </x:c>
    </x:row>
    <x:row r="28">
      <x:c r="A28" s="157" t="str">
        <x:v>League / other</x:v>
      </x:c>
      <x:c r="B28" s="157"/>
      <x:c r="C28" s="159" t="n">
        <x:f>'Operating Model'!$D$76*(1+Assumptions!$B$14)</x:f>
        <x:v>48.44566</x:v>
      </x:c>
      <x:c r="D28" s="159" t="n">
        <x:f>C28*(1+Assumptions!$B$14)</x:f>
        <x:v>48.9301166</x:v>
      </x:c>
      <x:c r="E28" s="159" t="n">
        <x:f>D28*(1+Assumptions!$B$14)</x:f>
        <x:v>49.419417765999995</x:v>
      </x:c>
      <x:c r="F28" s="159" t="n">
        <x:f>E28*(1+Assumptions!$B$14)</x:f>
        <x:v>49.913611943659994</x:v>
      </x:c>
      <x:c r="G28" s="159" t="n">
        <x:f>F28*(1+Assumptions!$B$14)</x:f>
        <x:v>50.41274806309659</x:v>
      </x:c>
      <x:c r="H28" s="157"/>
      <x:c r="I28" s="159" t="n">
        <x:f>'Operating Model'!$D$76*(1+Assumptions!$C$14)</x:f>
        <x:v>49.404979999999995</x:v>
      </x:c>
      <x:c r="J28" s="159" t="n">
        <x:f>I28*(1+Assumptions!$C$14)</x:f>
        <x:v>50.8871294</x:v>
      </x:c>
      <x:c r="K28" s="159" t="n">
        <x:f>J28*(1+Assumptions!$C$14)</x:f>
        <x:v>52.413743282</x:v>
      </x:c>
      <x:c r="L28" s="159" t="n">
        <x:f>K28*(1+Assumptions!$C$14)</x:f>
        <x:v>53.98615558046</x:v>
      </x:c>
      <x:c r="M28" s="159" t="n">
        <x:f>L28*(1+Assumptions!$C$14)</x:f>
        <x:v>55.605740247873804</x:v>
      </x:c>
      <x:c r="N28" s="157"/>
      <x:c r="O28" s="159" t="n">
        <x:f>'Operating Model'!$D$76*(1+Assumptions!$D$14)</x:f>
        <x:v>50.843959999999996</x:v>
      </x:c>
      <x:c r="P28" s="159" t="n">
        <x:f>O28*(1+Assumptions!$D$14)</x:f>
        <x:v>53.8945976</x:v>
      </x:c>
      <x:c r="Q28" s="159" t="n">
        <x:f>P28*(1+Assumptions!$D$14)</x:f>
        <x:v>57.128273456</x:v>
      </x:c>
      <x:c r="R28" s="159" t="n">
        <x:f>Q28*(1+Assumptions!$D$14)</x:f>
        <x:v>60.555969863360005</x:v>
      </x:c>
      <x:c r="S28" s="159" t="n">
        <x:f>R28*(1+Assumptions!$D$14)</x:f>
        <x:v>64.18932805516161</x:v>
      </x:c>
    </x:row>
    <x:row r="29">
      <x:c r="A29" s="157" t="str">
        <x:v>Revenue</x:v>
      </x:c>
      <x:c r="B29" s="157"/>
      <x:c r="C29" s="159" t="n">
        <x:f>SUM(C24:C28)</x:f>
        <x:v>669.13837</x:v>
      </x:c>
      <x:c r="D29" s="159" t="n">
        <x:f>SUM(D24:D28)</x:f>
        <x:v>678.7990171</x:v>
      </x:c>
      <x:c r="E29" s="159" t="n">
        <x:f>SUM(E24:E28)</x:f>
        <x:v>688.6453485730001</x:v>
      </x:c>
      <x:c r="F29" s="159" t="n">
        <x:f>SUM(F24:F28)</x:f>
        <x:v>674.330198859775</x:v>
      </x:c>
      <x:c r="G29" s="159" t="n">
        <x:f>SUM(G24:G28)</x:f>
        <x:v>684.3180951356646</x:v>
      </x:c>
      <x:c r="H29" s="157"/>
      <x:c r="I29" s="159" t="n">
        <x:f>SUM(I24:I28)</x:f>
        <x:v>722.361475</x:v>
      </x:c>
      <x:c r="J29" s="159" t="n">
        <x:f>SUM(J24:J28)</x:f>
        <x:v>745.859911375</x:v>
      </x:c>
      <x:c r="K29" s="159" t="n">
        <x:f>SUM(K24:K28)</x:f>
        <x:v>770.184663619375</x:v>
      </x:c>
      <x:c r="L29" s="159" t="n">
        <x:f>SUM(L24:L28)</x:f>
        <x:v>795.3673389274095</x:v>
      </x:c>
      <x:c r="M29" s="159" t="n">
        <x:f>SUM(M24:M28)</x:f>
        <x:v>821.4408523346086</x:v>
      </x:c>
      <x:c r="N29" s="157"/>
      <x:c r="O29" s="159" t="n">
        <x:f>SUM(O24:O28)</x:f>
        <x:v>798.2457800000001</x:v>
      </x:c>
      <x:c r="P29" s="159" t="n">
        <x:f>SUM(P24:P28)</x:f>
        <x:v>843.3366122000001</x:v>
      </x:c>
      <x:c r="Q29" s="159" t="n">
        <x:f>SUM(Q24:Q28)</x:f>
        <x:v>891.0861006740001</x:v>
      </x:c>
      <x:c r="R29" s="159" t="n">
        <x:f>SUM(R24:R28)</x:f>
        <x:v>970.1035667906752</x:v>
      </x:c>
      <x:c r="S29" s="159" t="n">
        <x:f>SUM(S24:S28)</x:f>
        <x:v>1025.097290375006</x:v>
      </x:c>
    </x:row>
    <x:row r="30">
      <x:c r="A30" s="157" t="str">
        <x:v>Non-playoff direct costs</x:v>
      </x:c>
      <x:c r="B30" s="157"/>
      <x:c r="C30" s="159" t="n">
        <x:f>'Operating Model'!$D$77*(1+Assumptions!$B$15)</x:f>
        <x:v>476.56499999999994</x:v>
      </x:c>
      <x:c r="D30" s="159" t="n">
        <x:f>C30*(1+Assumptions!$B$15)</x:f>
        <x:v>476.56499999999994</x:v>
      </x:c>
      <x:c r="E30" s="159" t="n">
        <x:f>D30*(1+Assumptions!$B$15)</x:f>
        <x:v>476.56499999999994</x:v>
      </x:c>
      <x:c r="F30" s="159" t="n">
        <x:f>E30*(1+Assumptions!$B$15)</x:f>
        <x:v>476.56499999999994</x:v>
      </x:c>
      <x:c r="G30" s="159" t="n">
        <x:f>F30*(1+Assumptions!$B$15)</x:f>
        <x:v>476.56499999999994</x:v>
      </x:c>
      <x:c r="H30" s="157"/>
      <x:c r="I30" s="159" t="n">
        <x:f>'Operating Model'!$D$77*(1+Assumptions!$C$15)</x:f>
        <x:v>481.33064999999993</x:v>
      </x:c>
      <x:c r="J30" s="159" t="n">
        <x:f>I30*(1+Assumptions!$C$15)</x:f>
        <x:v>486.14395649999994</x:v>
      </x:c>
      <x:c r="K30" s="159" t="n">
        <x:f>J30*(1+Assumptions!$C$15)</x:f>
        <x:v>491.00539606499996</x:v>
      </x:c>
      <x:c r="L30" s="159" t="n">
        <x:f>K30*(1+Assumptions!$C$15)</x:f>
        <x:v>495.91545002565</x:v>
      </x:c>
      <x:c r="M30" s="159" t="n">
        <x:f>L30*(1+Assumptions!$C$15)</x:f>
        <x:v>500.8746045259065</x:v>
      </x:c>
      <x:c r="N30" s="157"/>
      <x:c r="O30" s="159" t="n">
        <x:f>'Operating Model'!$D$77*(1+Assumptions!$D$15)</x:f>
        <x:v>478.9478249999999</x:v>
      </x:c>
      <x:c r="P30" s="159" t="n">
        <x:f>O30*(1+Assumptions!$D$15)</x:f>
        <x:v>481.34256412499985</x:v>
      </x:c>
      <x:c r="Q30" s="159" t="n">
        <x:f>P30*(1+Assumptions!$D$15)</x:f>
        <x:v>483.7492769456248</x:v>
      </x:c>
      <x:c r="R30" s="159" t="n">
        <x:f>Q30*(1+Assumptions!$D$15)</x:f>
        <x:v>486.16802333035287</x:v>
      </x:c>
      <x:c r="S30" s="159" t="n">
        <x:f>R30*(1+Assumptions!$D$15)</x:f>
        <x:v>488.5988634470046</x:v>
      </x:c>
    </x:row>
    <x:row r="31">
      <x:c r="A31" s="157" t="str">
        <x:v>Playoff expense</x:v>
      </x:c>
      <x:c r="B31" s="157"/>
      <x:c r="C31" s="159" t="n">
        <x:f>Assumptions!$B$9*Assumptions!$B$16*(1+Assumptions!$B$15)^1</x:f>
        <x:v>0</x:v>
      </x:c>
      <x:c r="D31" s="159" t="n">
        <x:f>Assumptions!$B$9*Assumptions!$B$16*(1+Assumptions!$B$15)^2</x:f>
        <x:v>0</x:v>
      </x:c>
      <x:c r="E31" s="159" t="n">
        <x:f>Assumptions!$B$9*Assumptions!$B$16*(1+Assumptions!$B$15)^3</x:f>
        <x:v>0</x:v>
      </x:c>
      <x:c r="F31" s="159" t="n">
        <x:f>Assumptions!$B$9*Assumptions!$B$16*(1+Assumptions!$B$15)^4</x:f>
        <x:v>0</x:v>
      </x:c>
      <x:c r="G31" s="159" t="n">
        <x:f>Assumptions!$B$9*Assumptions!$B$16*(1+Assumptions!$B$15)^5</x:f>
        <x:v>0</x:v>
      </x:c>
      <x:c r="H31" s="157"/>
      <x:c r="I31" s="159" t="n">
        <x:f>Assumptions!$C$9*Assumptions!$C$16*(1+Assumptions!$C$15)^1</x:f>
        <x:v>20.2</x:v>
      </x:c>
      <x:c r="J31" s="159" t="n">
        <x:f>Assumptions!$C$9*Assumptions!$C$16*(1+Assumptions!$C$15)^2</x:f>
        <x:v>20.402</x:v>
      </x:c>
      <x:c r="K31" s="159" t="n">
        <x:f>Assumptions!$C$9*Assumptions!$C$16*(1+Assumptions!$C$15)^3</x:f>
        <x:v>20.60602</x:v>
      </x:c>
      <x:c r="L31" s="159" t="n">
        <x:f>Assumptions!$C$9*Assumptions!$C$16*(1+Assumptions!$C$15)^4</x:f>
        <x:v>20.8120802</x:v>
      </x:c>
      <x:c r="M31" s="159" t="n">
        <x:f>Assumptions!$C$9*Assumptions!$C$16*(1+Assumptions!$C$15)^5</x:f>
        <x:v>21.020201002000004</x:v>
      </x:c>
      <x:c r="N31" s="157"/>
      <x:c r="O31" s="159" t="n">
        <x:f>Assumptions!$D$9*Assumptions!$D$16*(1+Assumptions!$D$15)^1</x:f>
        <x:v>36.17999999999999</x:v>
      </x:c>
      <x:c r="P31" s="159" t="n">
        <x:f>Assumptions!$D$9*Assumptions!$D$16*(1+Assumptions!$D$15)^2</x:f>
        <x:v>36.36089999999999</x:v>
      </x:c>
      <x:c r="Q31" s="159" t="n">
        <x:f>Assumptions!$D$9*Assumptions!$D$16*(1+Assumptions!$D$15)^3</x:f>
        <x:v>36.542704499999985</x:v>
      </x:c>
      <x:c r="R31" s="159" t="n">
        <x:f>Assumptions!$D$9*Assumptions!$D$16*(1+Assumptions!$D$15)^4</x:f>
        <x:v>36.72541802249999</x:v>
      </x:c>
      <x:c r="S31" s="159" t="n">
        <x:f>Assumptions!$D$9*Assumptions!$D$16*(1+Assumptions!$D$15)^5</x:f>
        <x:v>36.909045112612475</x:v>
      </x:c>
    </x:row>
    <x:row r="32">
      <x:c r="A32" s="157" t="str">
        <x:v>SG&amp;A</x:v>
      </x:c>
      <x:c r="B32" s="157"/>
      <x:c r="C32" s="159" t="n">
        <x:f>'Operating Model'!$D$79*(1+Assumptions!$B$17)</x:f>
        <x:v>185.36018999999996</x:v>
      </x:c>
      <x:c r="D32" s="159" t="n">
        <x:f>C32*(1+Assumptions!$B$17)</x:f>
        <x:v>186.28699094999993</x:v>
      </x:c>
      <x:c r="E32" s="159" t="n">
        <x:f>D32*(1+Assumptions!$B$17)</x:f>
        <x:v>187.21842590474992</x:v>
      </x:c>
      <x:c r="F32" s="159" t="n">
        <x:f>E32*(1+Assumptions!$B$17)</x:f>
        <x:v>188.15451803427365</x:v>
      </x:c>
      <x:c r="G32" s="159" t="n">
        <x:f>F32*(1+Assumptions!$B$17)</x:f>
        <x:v>189.095290624445</x:v>
      </x:c>
      <x:c r="H32" s="157"/>
      <x:c r="I32" s="159" t="n">
        <x:f>'Operating Model'!$D$79*(1+Assumptions!$C$17)</x:f>
        <x:v>187.20456999999996</x:v>
      </x:c>
      <x:c r="J32" s="159" t="n">
        <x:f>I32*(1+Assumptions!$C$17)</x:f>
        <x:v>190.01263854999993</x:v>
      </x:c>
      <x:c r="K32" s="159" t="n">
        <x:f>J32*(1+Assumptions!$C$17)</x:f>
        <x:v>192.8628281282499</x:v>
      </x:c>
      <x:c r="L32" s="159" t="n">
        <x:f>K32*(1+Assumptions!$C$17)</x:f>
        <x:v>195.75577055017362</x:v>
      </x:c>
      <x:c r="M32" s="159" t="n">
        <x:f>L32*(1+Assumptions!$C$17)</x:f>
        <x:v>198.6921071084262</x:v>
      </x:c>
      <x:c r="N32" s="157"/>
      <x:c r="O32" s="159" t="n">
        <x:f>'Operating Model'!$D$79*(1+Assumptions!$D$17)</x:f>
        <x:v>188.12676</x:v>
      </x:c>
      <x:c r="P32" s="159" t="n">
        <x:f>O32*(1+Assumptions!$D$17)</x:f>
        <x:v>191.8892952</x:v>
      </x:c>
      <x:c r="Q32" s="159" t="n">
        <x:f>P32*(1+Assumptions!$D$17)</x:f>
        <x:v>195.727081104</x:v>
      </x:c>
      <x:c r="R32" s="159" t="n">
        <x:f>Q32*(1+Assumptions!$D$17)</x:f>
        <x:v>199.64162272608002</x:v>
      </x:c>
      <x:c r="S32" s="159" t="n">
        <x:f>R32*(1+Assumptions!$D$17)</x:f>
        <x:v>203.6344551806016</x:v>
      </x:c>
    </x:row>
    <x:row r="33">
      <x:c r="A33" s="157" t="str">
        <x:v>D&amp;A</x:v>
      </x:c>
      <x:c r="B33" s="157"/>
      <x:c r="C33" s="159" t="n">
        <x:f>C29*Assumptions!$B$18</x:f>
        <x:v>1.003707555</x:v>
      </x:c>
      <x:c r="D33" s="159" t="n">
        <x:f>D29*Assumptions!$B$18</x:f>
        <x:v>1.0181985256500001</x:v>
      </x:c>
      <x:c r="E33" s="159" t="n">
        <x:f>E29*Assumptions!$B$18</x:f>
        <x:v>1.0329680228595002</x:v>
      </x:c>
      <x:c r="F33" s="159" t="n">
        <x:f>F29*Assumptions!$B$18</x:f>
        <x:v>1.0114952982896626</x:v>
      </x:c>
      <x:c r="G33" s="159" t="n">
        <x:f>G29*Assumptions!$B$18</x:f>
        <x:v>1.0264771427034969</x:v>
      </x:c>
      <x:c r="H33" s="157"/>
      <x:c r="I33" s="159" t="n">
        <x:f>I29*Assumptions!$C$18</x:f>
        <x:v>1.0835422125</x:v>
      </x:c>
      <x:c r="J33" s="159" t="n">
        <x:f>J29*Assumptions!$C$18</x:f>
        <x:v>1.1187898670625</x:v>
      </x:c>
      <x:c r="K33" s="159" t="n">
        <x:f>K29*Assumptions!$C$18</x:f>
        <x:v>1.1552769954290625</x:v>
      </x:c>
      <x:c r="L33" s="159" t="n">
        <x:f>L29*Assumptions!$C$18</x:f>
        <x:v>1.1930510083911143</x:v>
      </x:c>
      <x:c r="M33" s="159" t="n">
        <x:f>M29*Assumptions!$C$18</x:f>
        <x:v>1.232161278501913</x:v>
      </x:c>
      <x:c r="N33" s="157"/>
      <x:c r="O33" s="159" t="n">
        <x:f>O29*Assumptions!$D$18</x:f>
        <x:v>1.1973686700000001</x:v>
      </x:c>
      <x:c r="P33" s="159" t="n">
        <x:f>P29*Assumptions!$D$18</x:f>
        <x:v>1.2650049183000003</x:v>
      </x:c>
      <x:c r="Q33" s="159" t="n">
        <x:f>Q29*Assumptions!$D$18</x:f>
        <x:v>1.3366291510110002</x:v>
      </x:c>
      <x:c r="R33" s="159" t="n">
        <x:f>R29*Assumptions!$D$18</x:f>
        <x:v>1.4551553501860128</x:v>
      </x:c>
      <x:c r="S33" s="159" t="n">
        <x:f>S29*Assumptions!$D$18</x:f>
        <x:v>1.537645935562509</x:v>
      </x:c>
    </x:row>
    <x:row r="34">
      <x:c r="A34" s="157" t="str">
        <x:v>EBIT</x:v>
      </x:c>
      <x:c r="B34" s="157"/>
      <x:c r="C34" s="159" t="n">
        <x:f>C29-SUM(C30:C33)</x:f>
        <x:v>6.209472445000074</x:v>
      </x:c>
      <x:c r="D34" s="159" t="n">
        <x:f>D29-SUM(D30:D33)</x:f>
        <x:v>14.92882762435022</x:v>
      </x:c>
      <x:c r="E34" s="159" t="n">
        <x:f>E29-SUM(E30:E33)</x:f>
        <x:v>23.82895464539081</x:v>
      </x:c>
      <x:c r="F34" s="159" t="n">
        <x:f>F29-SUM(F30:F33)</x:f>
        <x:v>8.599185527211716</x:v>
      </x:c>
      <x:c r="G34" s="159" t="n">
        <x:f>G29-SUM(G30:G33)</x:f>
        <x:v>17.631327368516168</x:v>
      </x:c>
      <x:c r="H34" s="157"/>
      <x:c r="I34" s="159" t="n">
        <x:f>I29-SUM(I30:I33)</x:f>
        <x:v>32.542712787500136</x:v>
      </x:c>
      <x:c r="J34" s="159" t="n">
        <x:f>J29-SUM(J30:J33)</x:f>
        <x:v>48.18252645793768</x:v>
      </x:c>
      <x:c r="K34" s="159" t="n">
        <x:f>K29-SUM(K30:K33)</x:f>
        <x:v>64.55514243069604</x:v>
      </x:c>
      <x:c r="L34" s="159" t="n">
        <x:f>L29-SUM(L30:L33)</x:f>
        <x:v>81.69098714319477</x:v>
      </x:c>
      <x:c r="M34" s="159" t="n">
        <x:f>M29-SUM(M30:M33)</x:f>
        <x:v>99.62177841977405</x:v>
      </x:c>
      <x:c r="N34" s="157"/>
      <x:c r="O34" s="159" t="n">
        <x:f>O29-SUM(O30:O33)</x:f>
        <x:v>93.79382633000023</x:v>
      </x:c>
      <x:c r="P34" s="159" t="n">
        <x:f>P29-SUM(P30:P33)</x:f>
        <x:v>132.4788479567003</x:v>
      </x:c>
      <x:c r="Q34" s="159" t="n">
        <x:f>Q29-SUM(Q30:Q33)</x:f>
        <x:v>173.73040897336432</x:v>
      </x:c>
      <x:c r="R34" s="159" t="n">
        <x:f>R29-SUM(R30:R33)</x:f>
        <x:v>246.1133473615563</x:v>
      </x:c>
      <x:c r="S34" s="159" t="n">
        <x:f>S29-SUM(S30:S33)</x:f>
        <x:v>294.4172806992249</x:v>
      </x:c>
    </x:row>
    <x:row r="35">
      <x:c r="A35" s="157" t="str">
        <x:v>EBIT margin</x:v>
      </x:c>
      <x:c r="B35" s="157"/>
      <x:c r="C35" s="176" t="n">
        <x:f>C34/C29</x:f>
        <x:v>0.009279803286426504</x:v>
      </x:c>
      <x:c r="D35" s="176" t="n">
        <x:f>D34/D29</x:f>
        <x:v>0.021993001239350527</x:v>
      </x:c>
      <x:c r="E35" s="176" t="n">
        <x:f>E34/E29</x:f>
        <x:v>0.034602650979591726</x:v>
      </x:c>
      <x:c r="F35" s="176" t="n">
        <x:f>F34/F29</x:f>
        <x:v>0.012752188084935362</x:v>
      </x:c>
      <x:c r="G35" s="176" t="n">
        <x:f>G34/G29</x:f>
        <x:v>0.025764812437147074</x:v>
      </x:c>
      <x:c r="H35" s="157"/>
      <x:c r="I35" s="176" t="n">
        <x:f>I34/I29</x:f>
        <x:v>0.045050454535245164</x:v>
      </x:c>
      <x:c r="J35" s="176" t="n">
        <x:f>J34/J29</x:f>
        <x:v>0.06459996806788117</x:v>
      </x:c>
      <x:c r="K35" s="176" t="n">
        <x:f>K34/K29</x:f>
        <x:v>0.0838177458991824</x:v>
      </x:c>
      <x:c r="L35" s="176" t="n">
        <x:f>L34/L29</x:f>
        <x:v>0.10270850102213015</x:v>
      </x:c>
      <x:c r="M35" s="176" t="n">
        <x:f>M34/M29</x:f>
        <x:v>0.12127687360159896</x:v>
      </x:c>
      <x:c r="N35" s="157"/>
      <x:c r="O35" s="176" t="n">
        <x:f>O34/O29</x:f>
        <x:v>0.11749993382990415</x:v>
      </x:c>
      <x:c r="P35" s="176" t="n">
        <x:f>P34/P29</x:f>
        <x:v>0.15708893227237536</x:v>
      </x:c>
      <x:c r="Q35" s="176" t="n">
        <x:f>Q34/Q29</x:f>
        <x:v>0.194964783809284</x:v>
      </x:c>
      <x:c r="R35" s="176" t="n">
        <x:f>R34/R29</x:f>
        <x:v>0.2536980130644768</x:v>
      </x:c>
      <x:c r="S35" s="176" t="n">
        <x:f>S34/S29</x:f>
        <x:v>0.2872091102606658</x:v>
      </x:c>
    </x:row>
    <x:row r="36">
      <x:c r="A36" s="157" t="str">
        <x:v>Cash taxes</x:v>
      </x:c>
      <x:c r="B36" s="157"/>
      <x:c r="C36" s="159" t="n">
        <x:f>MAX(0,C34*Assumptions!$B$21)</x:f>
        <x:v>1.5523681112500185</x:v>
      </x:c>
      <x:c r="D36" s="159" t="n">
        <x:f>MAX(0,D34*Assumptions!$B$21)</x:f>
        <x:v>3.732206906087555</x:v>
      </x:c>
      <x:c r="E36" s="159" t="n">
        <x:f>MAX(0,E34*Assumptions!$B$21)</x:f>
        <x:v>5.957238661347702</x:v>
      </x:c>
      <x:c r="F36" s="159" t="n">
        <x:f>MAX(0,F34*Assumptions!$B$21)</x:f>
        <x:v>2.149796381802929</x:v>
      </x:c>
      <x:c r="G36" s="159" t="n">
        <x:f>MAX(0,G34*Assumptions!$B$21)</x:f>
        <x:v>4.407831842129042</x:v>
      </x:c>
      <x:c r="H36" s="157"/>
      <x:c r="I36" s="159" t="n">
        <x:f>MAX(0,I34*Assumptions!$C$21)</x:f>
        <x:v>8.135678196875034</x:v>
      </x:c>
      <x:c r="J36" s="159" t="n">
        <x:f>MAX(0,J34*Assumptions!$C$21)</x:f>
        <x:v>12.04563161448442</x:v>
      </x:c>
      <x:c r="K36" s="159" t="n">
        <x:f>MAX(0,K34*Assumptions!$C$21)</x:f>
        <x:v>16.13878560767401</x:v>
      </x:c>
      <x:c r="L36" s="159" t="n">
        <x:f>MAX(0,L34*Assumptions!$C$21)</x:f>
        <x:v>20.422746785798694</x:v>
      </x:c>
      <x:c r="M36" s="159" t="n">
        <x:f>MAX(0,M34*Assumptions!$C$21)</x:f>
        <x:v>24.90544460494351</x:v>
      </x:c>
      <x:c r="N36" s="157"/>
      <x:c r="O36" s="159" t="n">
        <x:f>MAX(0,O34*Assumptions!$D$21)</x:f>
        <x:v>23.448456582500057</x:v>
      </x:c>
      <x:c r="P36" s="159" t="n">
        <x:f>MAX(0,P34*Assumptions!$D$21)</x:f>
        <x:v>33.11971198917507</x:v>
      </x:c>
      <x:c r="Q36" s="159" t="n">
        <x:f>MAX(0,Q34*Assumptions!$D$21)</x:f>
        <x:v>43.43260224334108</x:v>
      </x:c>
      <x:c r="R36" s="159" t="n">
        <x:f>MAX(0,R34*Assumptions!$D$21)</x:f>
        <x:v>61.52833684038907</x:v>
      </x:c>
      <x:c r="S36" s="159" t="n">
        <x:f>MAX(0,S34*Assumptions!$D$21)</x:f>
        <x:v>73.60432017480622</x:v>
      </x:c>
    </x:row>
    <x:row r="37">
      <x:c r="A37" s="157" t="str">
        <x:v>NOPAT</x:v>
      </x:c>
      <x:c r="B37" s="157"/>
      <x:c r="C37" s="159" t="n">
        <x:f>C34-C36</x:f>
        <x:v>4.6571043337500555</x:v>
      </x:c>
      <x:c r="D37" s="159" t="n">
        <x:f>D34-D36</x:f>
        <x:v>11.196620718262665</x:v>
      </x:c>
      <x:c r="E37" s="159" t="n">
        <x:f>E34-E36</x:f>
        <x:v>17.871715984043107</x:v>
      </x:c>
      <x:c r="F37" s="159" t="n">
        <x:f>F34-F36</x:f>
        <x:v>6.449389145408787</x:v>
      </x:c>
      <x:c r="G37" s="159" t="n">
        <x:f>G34-G36</x:f>
        <x:v>13.223495526387126</x:v>
      </x:c>
      <x:c r="H37" s="157"/>
      <x:c r="I37" s="159" t="n">
        <x:f>I34-I36</x:f>
        <x:v>24.407034590625102</x:v>
      </x:c>
      <x:c r="J37" s="159" t="n">
        <x:f>J34-J36</x:f>
        <x:v>36.13689484345326</x:v>
      </x:c>
      <x:c r="K37" s="159" t="n">
        <x:f>K34-K36</x:f>
        <x:v>48.41635682302203</x:v>
      </x:c>
      <x:c r="L37" s="159" t="n">
        <x:f>L34-L36</x:f>
        <x:v>61.26824035739608</x:v>
      </x:c>
      <x:c r="M37" s="159" t="n">
        <x:f>M34-M36</x:f>
        <x:v>74.71633381483053</x:v>
      </x:c>
      <x:c r="N37" s="157"/>
      <x:c r="O37" s="159" t="n">
        <x:f>O34-O36</x:f>
        <x:v>70.34536974750017</x:v>
      </x:c>
      <x:c r="P37" s="159" t="n">
        <x:f>P34-P36</x:f>
        <x:v>99.35913596752522</x:v>
      </x:c>
      <x:c r="Q37" s="159" t="n">
        <x:f>Q34-Q36</x:f>
        <x:v>130.29780673002324</x:v>
      </x:c>
      <x:c r="R37" s="159" t="n">
        <x:f>R34-R36</x:f>
        <x:v>184.58501052116722</x:v>
      </x:c>
      <x:c r="S37" s="159" t="n">
        <x:f>S34-S36</x:f>
        <x:v>220.81296052441866</x:v>
      </x:c>
    </x:row>
    <x:row r="38">
      <x:c r="A38" s="157" t="str">
        <x:v>Capex</x:v>
      </x:c>
      <x:c r="B38" s="157"/>
      <x:c r="C38" s="159" t="n">
        <x:f>C29*Assumptions!$B$19</x:f>
        <x:v>1.672845925</x:v>
      </x:c>
      <x:c r="D38" s="159" t="n">
        <x:f>D29*Assumptions!$B$19</x:f>
        <x:v>1.6969975427500001</x:v>
      </x:c>
      <x:c r="E38" s="159" t="n">
        <x:f>E29*Assumptions!$B$19</x:f>
        <x:v>1.7216133714325004</x:v>
      </x:c>
      <x:c r="F38" s="159" t="n">
        <x:f>F29*Assumptions!$B$19</x:f>
        <x:v>1.6858254971494375</x:v>
      </x:c>
      <x:c r="G38" s="159" t="n">
        <x:f>G29*Assumptions!$B$19</x:f>
        <x:v>1.7107952378391615</x:v>
      </x:c>
      <x:c r="H38" s="157"/>
      <x:c r="I38" s="159" t="n">
        <x:f>I29*Assumptions!$C$19</x:f>
        <x:v>1.8059036875</x:v>
      </x:c>
      <x:c r="J38" s="159" t="n">
        <x:f>J29*Assumptions!$C$19</x:f>
        <x:v>1.8646497784375</x:v>
      </x:c>
      <x:c r="K38" s="159" t="n">
        <x:f>K29*Assumptions!$C$19</x:f>
        <x:v>1.9254616590484375</x:v>
      </x:c>
      <x:c r="L38" s="159" t="n">
        <x:f>L29*Assumptions!$C$19</x:f>
        <x:v>1.9884183473185237</x:v>
      </x:c>
      <x:c r="M38" s="159" t="n">
        <x:f>M29*Assumptions!$C$19</x:f>
        <x:v>2.0536021308365218</x:v>
      </x:c>
      <x:c r="N38" s="157"/>
      <x:c r="O38" s="159" t="n">
        <x:f>O29*Assumptions!$D$19</x:f>
        <x:v>1.9956144500000002</x:v>
      </x:c>
      <x:c r="P38" s="159" t="n">
        <x:f>P29*Assumptions!$D$19</x:f>
        <x:v>2.1083415305</x:v>
      </x:c>
      <x:c r="Q38" s="159" t="n">
        <x:f>Q29*Assumptions!$D$19</x:f>
        <x:v>2.2277152516850003</x:v>
      </x:c>
      <x:c r="R38" s="159" t="n">
        <x:f>R29*Assumptions!$D$19</x:f>
        <x:v>2.4252589169766883</x:v>
      </x:c>
      <x:c r="S38" s="159" t="n">
        <x:f>S29*Assumptions!$D$19</x:f>
        <x:v>2.562743225937515</x:v>
      </x:c>
    </x:row>
    <x:row r="39">
      <x:c r="A39" s="157" t="str">
        <x:v>Change in NWC</x:v>
      </x:c>
      <x:c r="B39" s="157"/>
      <x:c r="C39" s="159" t="n">
        <x:f>(C29-'Operating Model'!$D$54)*Assumptions!$B$20</x:f>
        <x:v>-2.948272599999998</x:v>
      </x:c>
      <x:c r="D39" s="159" t="n">
        <x:f>(D29-C29)*Assumptions!$B$20</x:f>
        <x:v>0.1932129420000001</x:v>
      </x:c>
      <x:c r="E39" s="159" t="n">
        <x:f>(E29-D29)*Assumptions!$B$20</x:f>
        <x:v>0.19692662946000156</x:v>
      </x:c>
      <x:c r="F39" s="159" t="n">
        <x:f>(F29-E29)*Assumptions!$B$20</x:f>
        <x:v>-0.2863029942645017</x:v>
      </x:c>
      <x:c r="G39" s="159" t="n">
        <x:f>(G29-F29)*Assumptions!$B$20</x:f>
        <x:v>0.1997579255177925</x:v>
      </x:c>
      <x:c r="H39" s="157"/>
      <x:c r="I39" s="159" t="n">
        <x:f>(I29-'Operating Model'!$D$54)*Assumptions!$C$20</x:f>
        <x:v>-1.8838104999999974</x:v>
      </x:c>
      <x:c r="J39" s="159" t="n">
        <x:f>(J29-I29)*Assumptions!$C$20</x:f>
        <x:v>0.4699687274999997</x:v>
      </x:c>
      <x:c r="K39" s="159" t="n">
        <x:f>(K29-J29)*Assumptions!$C$20</x:f>
        <x:v>0.4864950448874993</x:v>
      </x:c>
      <x:c r="L39" s="159" t="n">
        <x:f>(L29-K29)*Assumptions!$C$20</x:f>
        <x:v>0.50365350616069</x:v>
      </x:c>
      <x:c r="M39" s="159" t="n">
        <x:f>(M29-L29)*Assumptions!$C$20</x:f>
        <x:v>0.5214702681439826</x:v>
      </x:c>
      <x:c r="N39" s="157"/>
      <x:c r="O39" s="159" t="n">
        <x:f>(O29-'Operating Model'!$D$54)*Assumptions!$D$20</x:f>
        <x:v>-0.3661243999999965</x:v>
      </x:c>
      <x:c r="P39" s="159" t="n">
        <x:f>(P29-O29)*Assumptions!$D$20</x:f>
        <x:v>0.9018166440000005</x:v>
      </x:c>
      <x:c r="Q39" s="159" t="n">
        <x:f>(Q29-P29)*Assumptions!$D$20</x:f>
        <x:v>0.9549897694800007</x:v>
      </x:c>
      <x:c r="R39" s="159" t="n">
        <x:f>(R29-Q29)*Assumptions!$D$20</x:f>
        <x:v>1.5803493223335021</x:v>
      </x:c>
      <x:c r="S39" s="159" t="n">
        <x:f>(S29-R29)*Assumptions!$D$20</x:f>
        <x:v>1.0998744716866145</x:v>
      </x:c>
    </x:row>
    <x:row r="40">
      <x:c r="A40" s="157" t="str">
        <x:v>UFCF</x:v>
      </x:c>
      <x:c r="B40" s="157"/>
      <x:c r="C40" s="159" t="n">
        <x:f>C37+C33-C38-C39</x:f>
        <x:v>6.936238563750054</x:v>
      </x:c>
      <x:c r="D40" s="159" t="n">
        <x:f>D37+D33-D38-D39</x:f>
        <x:v>10.324608759162663</x:v>
      </x:c>
      <x:c r="E40" s="159" t="n">
        <x:f>E37+E33-E38-E39</x:f>
        <x:v>16.986144006010104</x:v>
      </x:c>
      <x:c r="F40" s="159" t="n">
        <x:f>F37+F33-F38-F39</x:f>
        <x:v>6.061361940813514</x:v>
      </x:c>
      <x:c r="G40" s="159" t="n">
        <x:f>G37+G33-G38-G39</x:f>
        <x:v>12.33941950573367</x:v>
      </x:c>
      <x:c r="H40" s="157"/>
      <x:c r="I40" s="159" t="n">
        <x:f>I37+I33-I38-I39</x:f>
        <x:v>25.568483615625098</x:v>
      </x:c>
      <x:c r="J40" s="159" t="n">
        <x:f>J37+J33-J38-J39</x:f>
        <x:v>34.92106620457826</x:v>
      </x:c>
      <x:c r="K40" s="159" t="n">
        <x:f>K37+K33-K38-K39</x:f>
        <x:v>47.159677114515155</x:v>
      </x:c>
      <x:c r="L40" s="159" t="n">
        <x:f>L37+L33-L38-L39</x:f>
        <x:v>59.96921951230799</x:v>
      </x:c>
      <x:c r="M40" s="159" t="n">
        <x:f>M37+M33-M38-M39</x:f>
        <x:v>73.37342269435194</x:v>
      </x:c>
      <x:c r="N40" s="157"/>
      <x:c r="O40" s="159" t="n">
        <x:f>O37+O33-O38-O39</x:f>
        <x:v>69.91324836750016</x:v>
      </x:c>
      <x:c r="P40" s="159" t="n">
        <x:f>P37+P33-P38-P39</x:f>
        <x:v>97.6139827113252</x:v>
      </x:c>
      <x:c r="Q40" s="159" t="n">
        <x:f>Q37+Q33-Q38-Q39</x:f>
        <x:v>128.45173085986926</x:v>
      </x:c>
      <x:c r="R40" s="159" t="n">
        <x:f>R37+R33-R38-R39</x:f>
        <x:v>182.03455763204303</x:v>
      </x:c>
      <x:c r="S40" s="159" t="n">
        <x:f>S37+S33-S38-S39</x:f>
        <x:v>218.68798876235707</x:v>
      </x:c>
    </x:row>
    <x:row r="41">
      <x:c r="A41" s="157" t="str">
        <x:v>PV of UFCF</x:v>
      </x:c>
      <x:c r="B41" s="157"/>
      <x:c r="C41" s="159" t="n">
        <x:f>C40/(1+(Assumptions!$B$36+Assumptions!$B$22))^1</x:f>
        <x:v>6.314389584483171</x:v>
      </x:c>
      <x:c r="D41" s="159" t="n">
        <x:f>D40/(1+(Assumptions!$B$36+Assumptions!$B$22))^2</x:f>
        <x:v>8.556345381892795</x:v>
      </x:c>
      <x:c r="E41" s="159" t="n">
        <x:f>E40/(1+(Assumptions!$B$36+Assumptions!$B$22))^3</x:f>
        <x:v>12.81494824710029</x:v>
      </x:c>
      <x:c r="F41" s="159" t="n">
        <x:f>F40/(1+(Assumptions!$B$36+Assumptions!$B$22))^4</x:f>
        <x:v>4.162934947217885</x:v>
      </x:c>
      <x:c r="G41" s="159" t="n">
        <x:f>G40/(1+(Assumptions!$B$36+Assumptions!$B$22))^5</x:f>
        <x:v>7.714921076316569</x:v>
      </x:c>
      <x:c r="H41" s="157"/>
      <x:c r="I41" s="159" t="n">
        <x:f>I40/(1+(Assumptions!$B$36+Assumptions!$C$22))^1</x:f>
        <x:v>23.436226438928347</x:v>
      </x:c>
      <x:c r="J41" s="159" t="n">
        <x:f>J40/(1+(Assumptions!$B$36+Assumptions!$C$22))^2</x:f>
        <x:v>29.339514406385334</x:v>
      </x:c>
      <x:c r="K41" s="159" t="n">
        <x:f>K40/(1+(Assumptions!$B$36+Assumptions!$C$22))^3</x:f>
        <x:v>36.317752348601545</x:v>
      </x:c>
      <x:c r="L41" s="159" t="n">
        <x:f>L40/(1+(Assumptions!$B$36+Assumptions!$C$22))^4</x:f>
        <x:v>42.331070343907854</x:v>
      </x:c>
      <x:c r="M41" s="159" t="n">
        <x:f>M40/(1+(Assumptions!$B$36+Assumptions!$C$22))^5</x:f>
        <x:v>47.473619520290754</x:v>
      </x:c>
      <x:c r="N41" s="157"/>
      <x:c r="O41" s="159" t="n">
        <x:f>O40/(1+(Assumptions!$B$36+Assumptions!$D$22))^1</x:f>
        <x:v>64.37795161518687</x:v>
      </x:c>
      <x:c r="P41" s="159" t="n">
        <x:f>P40/(1+(Assumptions!$B$36+Assumptions!$D$22))^2</x:f>
        <x:v>82.7689371908959</x:v>
      </x:c>
      <x:c r="Q41" s="159" t="n">
        <x:f>Q40/(1+(Assumptions!$B$36+Assumptions!$D$22))^3</x:f>
        <x:v>100.29354439414954</x:v>
      </x:c>
      <x:c r="R41" s="159" t="n">
        <x:f>R40/(1+(Assumptions!$B$36+Assumptions!$D$22))^4</x:f>
        <x:v>130.87736261393405</x:v>
      </x:c>
      <x:c r="S41" s="159" t="n">
        <x:f>S40/(1+(Assumptions!$B$36+Assumptions!$D$22))^5</x:f>
        <x:v>144.7815745481837</x:v>
      </x:c>
    </x:row>
    <x:row r="42">
      <x:c r="A42" s="157" t="str">
        <x:v>Terminal value</x:v>
      </x:c>
      <x:c r="B42" s="157"/>
      <x:c r="C42" s="159" t="n">
        <x:f>G40*(1+Assumptions!$B$23)/((Assumptions!$B$36+Assumptions!$B$22)-Assumptions!$B$23)</x:f>
        <x:v>160.37216399902326</x:v>
      </x:c>
      <x:c r="D42" s="159"/>
      <x:c r="E42" s="159"/>
      <x:c r="F42" s="159"/>
      <x:c r="G42" s="159"/>
      <x:c r="H42" s="157"/>
      <x:c r="I42" s="159" t="n">
        <x:f>M40*(1+Assumptions!$C$23)/((Assumptions!$B$36+Assumptions!$C$22)-Assumptions!$C$23)</x:f>
        <x:v>1139.8353056619985</x:v>
      </x:c>
      <x:c r="J42" s="159"/>
      <x:c r="K42" s="159"/>
      <x:c r="L42" s="159"/>
      <x:c r="M42" s="159"/>
      <x:c r="N42" s="157"/>
      <x:c r="O42" s="159" t="n">
        <x:f>S40*(1+Assumptions!$D$23)/((Assumptions!$B$36+Assumptions!$D$22)-Assumptions!$D$23)</x:f>
        <x:v>4023.6441384432787</x:v>
      </x:c>
      <x:c r="P42" s="159"/>
      <x:c r="Q42" s="159"/>
      <x:c r="R42" s="159"/>
      <x:c r="S42" s="159"/>
    </x:row>
    <x:row r="43">
      <x:c r="A43" s="157" t="str">
        <x:v>Enterprise value</x:v>
      </x:c>
      <x:c r="B43" s="157"/>
      <x:c r="C43" s="159" t="n">
        <x:f>SUM(C41:G41)+C42/(1+(Assumptions!$B$36+Assumptions!$B$22))^5</x:f>
        <x:v>139.83232315473504</x:v>
      </x:c>
      <x:c r="D43" s="159"/>
      <x:c r="E43" s="159"/>
      <x:c r="F43" s="159"/>
      <x:c r="G43" s="159"/>
      <x:c r="H43" s="157"/>
      <x:c r="I43" s="159" t="n">
        <x:f>SUM(I41:M41)+I42/(1+(Assumptions!$B$36+Assumptions!$C$22))^5</x:f>
        <x:v>916.3873941339575</x:v>
      </x:c>
      <x:c r="J43" s="159"/>
      <x:c r="K43" s="159"/>
      <x:c r="L43" s="159"/>
      <x:c r="M43" s="159"/>
      <x:c r="N43" s="157"/>
      <x:c r="O43" s="159" t="n">
        <x:f>SUM(O41:S41)+O42/(1+(Assumptions!$B$36+Assumptions!$D$22))^5</x:f>
        <x:v>3186.938098233365</x:v>
      </x:c>
      <x:c r="P43" s="159"/>
      <x:c r="Q43" s="159"/>
      <x:c r="R43" s="159"/>
      <x:c r="S43" s="159"/>
    </x:row>
  </x:sheetData>
  <x:mergeCells>
    <x:mergeCell ref="A1:R1"/>
    <x:mergeCell ref="A2:R2"/>
    <x:mergeCell ref="A4:H4"/>
    <x:mergeCell ref="H4:N4"/>
    <x:mergeCell ref="A15:F15"/>
    <x:mergeCell ref="C22:G22"/>
    <x:mergeCell ref="I22:M22"/>
    <x:mergeCell ref="O22:S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5" hidden="0" customWidth="1"/>
    <x:col min="4" max="4" width="13" hidden="0" customWidth="1"/>
    <x:col min="5" max="5" width="13" hidden="0" customWidth="1"/>
    <x:col min="6" max="6" width="31" hidden="0" customWidth="1"/>
    <x:col min="7" max="7" width="34" hidden="0" customWidth="1"/>
    <x:col min="8" max="8" width="58" hidden="0" customWidth="1"/>
    <x:col min="9" max="9" width="24" hidden="0" customWidth="1"/>
  </x:cols>
  <x:sheetData>
    <x:row r="1" ht="30" customHeight="1">
      <x:c r="A1" s="3" t="str">
        <x:v>Sources and Hardcoded Inputs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Every external hardcoded input is documented here. Reported values are kept separate from calculated Knicks residuals and forecasts.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57"/>
      <x:c r="B3" s="157"/>
      <x:c r="C3" s="157"/>
      <x:c r="D3" s="157"/>
      <x:c r="E3" s="157"/>
      <x:c r="F3" s="157"/>
      <x:c r="G3" s="157"/>
      <x:c r="H3" s="157"/>
      <x:c r="I3" s="157"/>
    </x:row>
    <x:row r="4">
      <x:c r="A4" s="119" t="str">
        <x:v>Category</x:v>
      </x:c>
      <x:c r="B4" s="119" t="str">
        <x:v>Input</x:v>
      </x:c>
      <x:c r="C4" s="119" t="str">
        <x:v>Period / date</x:v>
      </x:c>
      <x:c r="D4" s="119" t="str">
        <x:v>Value</x:v>
      </x:c>
      <x:c r="E4" s="119" t="str">
        <x:v>Units</x:v>
      </x:c>
      <x:c r="F4" s="119" t="str">
        <x:v>Filing / source</x:v>
      </x:c>
      <x:c r="G4" s="119" t="str">
        <x:v>Page or section</x:v>
      </x:c>
      <x:c r="H4" s="119" t="str">
        <x:v>Direct URL</x:v>
      </x:c>
      <x:c r="I4" s="119" t="str">
        <x:v>Treatment</x:v>
      </x:c>
    </x:row>
    <x:row r="5">
      <x:c r="A5" s="203" t="str">
        <x:v>Reported MSG Sports</x:v>
      </x:c>
      <x:c r="B5" s="203" t="str">
        <x:v>Event-related revenue</x:v>
      </x:c>
      <x:c r="C5" s="203" t="str">
        <x:v>FY2024</x:v>
      </x:c>
      <x:c r="D5" s="204" t="n">
        <x:v>458.213</x:v>
      </x:c>
      <x:c r="E5" s="203" t="str">
        <x:v>$mm</x:v>
      </x:c>
      <x:c r="F5" s="203" t="str">
        <x:v>MSG Sports FY2026 Form 10-K</x:v>
      </x:c>
      <x:c r="G5" s="203" t="str">
        <x:v>Financial statements / revenue disaggregation</x:v>
      </x:c>
      <x:c r="H5" s="203" t="str">
        <x:v>https://www.sec.gov/Archives/edgar/data/1636519/000162828026056812/msgs-20260630.htm</x:v>
      </x:c>
      <x:c r="I5" s="203" t="str">
        <x:v>Reported</x:v>
      </x:c>
    </x:row>
    <x:row r="6">
      <x:c r="A6" s="203" t="str">
        <x:v>Reported MSG Sports</x:v>
      </x:c>
      <x:c r="B6" s="203" t="str">
        <x:v>Event-related revenue</x:v>
      </x:c>
      <x:c r="C6" s="203" t="str">
        <x:v>FY2025</x:v>
      </x:c>
      <x:c r="D6" s="204" t="n">
        <x:v>462.533</x:v>
      </x:c>
      <x:c r="E6" s="203" t="str">
        <x:v>$mm</x:v>
      </x:c>
      <x:c r="F6" s="203" t="str">
        <x:v>MSG Sports FY2026 Form 10-K</x:v>
      </x:c>
      <x:c r="G6" s="203" t="str">
        <x:v>Financial statements / revenue disaggregation</x:v>
      </x:c>
      <x:c r="H6" s="203" t="str">
        <x:v>https://www.sec.gov/Archives/edgar/data/1636519/000162828026056812/msgs-20260630.htm</x:v>
      </x:c>
      <x:c r="I6" s="203" t="str">
        <x:v>Reported</x:v>
      </x:c>
    </x:row>
    <x:row r="7">
      <x:c r="A7" s="203" t="str">
        <x:v>Reported MSG Sports</x:v>
      </x:c>
      <x:c r="B7" s="203" t="str">
        <x:v>Event-related revenue</x:v>
      </x:c>
      <x:c r="C7" s="203" t="str">
        <x:v>FY2026</x:v>
      </x:c>
      <x:c r="D7" s="204" t="n">
        <x:v>536.546</x:v>
      </x:c>
      <x:c r="E7" s="203" t="str">
        <x:v>$mm</x:v>
      </x:c>
      <x:c r="F7" s="203" t="str">
        <x:v>MSG Sports FY2026 Form 10-K</x:v>
      </x:c>
      <x:c r="G7" s="203" t="str">
        <x:v>Financial statements / revenue disaggregation</x:v>
      </x:c>
      <x:c r="H7" s="203" t="str">
        <x:v>https://www.sec.gov/Archives/edgar/data/1636519/000162828026056812/msgs-20260630.htm</x:v>
      </x:c>
      <x:c r="I7" s="203" t="str">
        <x:v>Reported</x:v>
      </x:c>
    </x:row>
    <x:row r="8">
      <x:c r="A8" s="203" t="str">
        <x:v>Reported MSG Sports</x:v>
      </x:c>
      <x:c r="B8" s="203" t="str">
        <x:v>Media-rights revenue</x:v>
      </x:c>
      <x:c r="C8" s="203" t="str">
        <x:v>FY2024</x:v>
      </x:c>
      <x:c r="D8" s="204" t="n">
        <x:v>297.756</x:v>
      </x:c>
      <x:c r="E8" s="203" t="str">
        <x:v>$mm</x:v>
      </x:c>
      <x:c r="F8" s="203" t="str">
        <x:v>MSG Sports FY2026 Form 10-K</x:v>
      </x:c>
      <x:c r="G8" s="203" t="str">
        <x:v>Financial statements / revenue disaggregation</x:v>
      </x:c>
      <x:c r="H8" s="203" t="str">
        <x:v>https://www.sec.gov/Archives/edgar/data/1636519/000162828026056812/msgs-20260630.htm</x:v>
      </x:c>
      <x:c r="I8" s="203" t="str">
        <x:v>Reported</x:v>
      </x:c>
    </x:row>
    <x:row r="9">
      <x:c r="A9" s="203" t="str">
        <x:v>Reported MSG Sports</x:v>
      </x:c>
      <x:c r="B9" s="203" t="str">
        <x:v>Media-rights revenue</x:v>
      </x:c>
      <x:c r="C9" s="203" t="str">
        <x:v>FY2025</x:v>
      </x:c>
      <x:c r="D9" s="204" t="n">
        <x:v>285.566</x:v>
      </x:c>
      <x:c r="E9" s="203" t="str">
        <x:v>$mm</x:v>
      </x:c>
      <x:c r="F9" s="203" t="str">
        <x:v>MSG Sports FY2026 Form 10-K</x:v>
      </x:c>
      <x:c r="G9" s="203" t="str">
        <x:v>Financial statements / revenue disaggregation</x:v>
      </x:c>
      <x:c r="H9" s="203" t="str">
        <x:v>https://www.sec.gov/Archives/edgar/data/1636519/000162828026056812/msgs-20260630.htm</x:v>
      </x:c>
      <x:c r="I9" s="203" t="str">
        <x:v>Reported</x:v>
      </x:c>
    </x:row>
    <x:row r="10">
      <x:c r="A10" s="203" t="str">
        <x:v>Reported MSG Sports</x:v>
      </x:c>
      <x:c r="B10" s="203" t="str">
        <x:v>Media-rights revenue</x:v>
      </x:c>
      <x:c r="C10" s="203" t="str">
        <x:v>FY2026</x:v>
      </x:c>
      <x:c r="D10" s="204" t="n">
        <x:v>295.74</x:v>
      </x:c>
      <x:c r="E10" s="203" t="str">
        <x:v>$mm</x:v>
      </x:c>
      <x:c r="F10" s="203" t="str">
        <x:v>MSG Sports FY2026 Form 10-K</x:v>
      </x:c>
      <x:c r="G10" s="203" t="str">
        <x:v>Financial statements / revenue disaggregation</x:v>
      </x:c>
      <x:c r="H10" s="203" t="str">
        <x:v>https://www.sec.gov/Archives/edgar/data/1636519/000162828026056812/msgs-20260630.htm</x:v>
      </x:c>
      <x:c r="I10" s="203" t="str">
        <x:v>Reported</x:v>
      </x:c>
    </x:row>
    <x:row r="11">
      <x:c r="A11" s="203" t="str">
        <x:v>Reported MSG Sports</x:v>
      </x:c>
      <x:c r="B11" s="203" t="str">
        <x:v>Sponsorship / signage / suites</x:v>
      </x:c>
      <x:c r="C11" s="203" t="str">
        <x:v>FY2024</x:v>
      </x:c>
      <x:c r="D11" s="204" t="n">
        <x:v>210.742</x:v>
      </x:c>
      <x:c r="E11" s="203" t="str">
        <x:v>$mm</x:v>
      </x:c>
      <x:c r="F11" s="203" t="str">
        <x:v>MSG Sports FY2026 Form 10-K</x:v>
      </x:c>
      <x:c r="G11" s="203" t="str">
        <x:v>Financial statements / revenue disaggregation</x:v>
      </x:c>
      <x:c r="H11" s="203" t="str">
        <x:v>https://www.sec.gov/Archives/edgar/data/1636519/000162828026056812/msgs-20260630.htm</x:v>
      </x:c>
      <x:c r="I11" s="203" t="str">
        <x:v>Reported</x:v>
      </x:c>
    </x:row>
    <x:row r="12">
      <x:c r="A12" s="203" t="str">
        <x:v>Reported MSG Sports</x:v>
      </x:c>
      <x:c r="B12" s="203" t="str">
        <x:v>Sponsorship / signage / suites</x:v>
      </x:c>
      <x:c r="C12" s="203" t="str">
        <x:v>FY2025</x:v>
      </x:c>
      <x:c r="D12" s="204" t="n">
        <x:v>230.184</x:v>
      </x:c>
      <x:c r="E12" s="203" t="str">
        <x:v>$mm</x:v>
      </x:c>
      <x:c r="F12" s="203" t="str">
        <x:v>MSG Sports FY2026 Form 10-K</x:v>
      </x:c>
      <x:c r="G12" s="203" t="str">
        <x:v>Financial statements / revenue disaggregation</x:v>
      </x:c>
      <x:c r="H12" s="203" t="str">
        <x:v>https://www.sec.gov/Archives/edgar/data/1636519/000162828026056812/msgs-20260630.htm</x:v>
      </x:c>
      <x:c r="I12" s="203" t="str">
        <x:v>Reported</x:v>
      </x:c>
    </x:row>
    <x:row r="13">
      <x:c r="A13" s="203" t="str">
        <x:v>Reported MSG Sports</x:v>
      </x:c>
      <x:c r="B13" s="203" t="str">
        <x:v>Sponsorship / signage / suites</x:v>
      </x:c>
      <x:c r="C13" s="203" t="str">
        <x:v>FY2026</x:v>
      </x:c>
      <x:c r="D13" s="204" t="n">
        <x:v>255.349</x:v>
      </x:c>
      <x:c r="E13" s="203" t="str">
        <x:v>$mm</x:v>
      </x:c>
      <x:c r="F13" s="203" t="str">
        <x:v>MSG Sports FY2026 Form 10-K</x:v>
      </x:c>
      <x:c r="G13" s="203" t="str">
        <x:v>Financial statements / revenue disaggregation</x:v>
      </x:c>
      <x:c r="H13" s="203" t="str">
        <x:v>https://www.sec.gov/Archives/edgar/data/1636519/000162828026056812/msgs-20260630.htm</x:v>
      </x:c>
      <x:c r="I13" s="203" t="str">
        <x:v>Reported</x:v>
      </x:c>
    </x:row>
    <x:row r="14">
      <x:c r="A14" s="203" t="str">
        <x:v>Reported MSG Sports</x:v>
      </x:c>
      <x:c r="B14" s="203" t="str">
        <x:v>League distributions / other</x:v>
      </x:c>
      <x:c r="C14" s="203" t="str">
        <x:v>FY2024</x:v>
      </x:c>
      <x:c r="D14" s="204" t="n">
        <x:v>60.438</x:v>
      </x:c>
      <x:c r="E14" s="203" t="str">
        <x:v>$mm</x:v>
      </x:c>
      <x:c r="F14" s="203" t="str">
        <x:v>MSG Sports FY2026 Form 10-K</x:v>
      </x:c>
      <x:c r="G14" s="203" t="str">
        <x:v>Financial statements / revenue disaggregation</x:v>
      </x:c>
      <x:c r="H14" s="203" t="str">
        <x:v>https://www.sec.gov/Archives/edgar/data/1636519/000162828026056812/msgs-20260630.htm</x:v>
      </x:c>
      <x:c r="I14" s="203" t="str">
        <x:v>Reported</x:v>
      </x:c>
    </x:row>
    <x:row r="15">
      <x:c r="A15" s="203" t="str">
        <x:v>Reported MSG Sports</x:v>
      </x:c>
      <x:c r="B15" s="203" t="str">
        <x:v>League distributions / other</x:v>
      </x:c>
      <x:c r="C15" s="203" t="str">
        <x:v>FY2025</x:v>
      </x:c>
      <x:c r="D15" s="204" t="n">
        <x:v>60.937</x:v>
      </x:c>
      <x:c r="E15" s="203" t="str">
        <x:v>$mm</x:v>
      </x:c>
      <x:c r="F15" s="203" t="str">
        <x:v>MSG Sports FY2026 Form 10-K</x:v>
      </x:c>
      <x:c r="G15" s="203" t="str">
        <x:v>Financial statements / revenue disaggregation</x:v>
      </x:c>
      <x:c r="H15" s="203" t="str">
        <x:v>https://www.sec.gov/Archives/edgar/data/1636519/000162828026056812/msgs-20260630.htm</x:v>
      </x:c>
      <x:c r="I15" s="203" t="str">
        <x:v>Reported</x:v>
      </x:c>
    </x:row>
    <x:row r="16">
      <x:c r="A16" s="203" t="str">
        <x:v>Reported MSG Sports</x:v>
      </x:c>
      <x:c r="B16" s="203" t="str">
        <x:v>League distributions / other</x:v>
      </x:c>
      <x:c r="C16" s="203" t="str">
        <x:v>FY2026</x:v>
      </x:c>
      <x:c r="D16" s="204" t="n">
        <x:v>66.187</x:v>
      </x:c>
      <x:c r="E16" s="203" t="str">
        <x:v>$mm</x:v>
      </x:c>
      <x:c r="F16" s="203" t="str">
        <x:v>MSG Sports FY2026 Form 10-K</x:v>
      </x:c>
      <x:c r="G16" s="203" t="str">
        <x:v>Financial statements / revenue disaggregation</x:v>
      </x:c>
      <x:c r="H16" s="203" t="str">
        <x:v>https://www.sec.gov/Archives/edgar/data/1636519/000162828026056812/msgs-20260630.htm</x:v>
      </x:c>
      <x:c r="I16" s="203" t="str">
        <x:v>Reported</x:v>
      </x:c>
    </x:row>
    <x:row r="17">
      <x:c r="A17" s="203" t="str">
        <x:v>Reported MSG Sports</x:v>
      </x:c>
      <x:c r="B17" s="203" t="str">
        <x:v>Total revenue</x:v>
      </x:c>
      <x:c r="C17" s="203" t="str">
        <x:v>FY2024</x:v>
      </x:c>
      <x:c r="D17" s="204" t="n">
        <x:v>1027.149</x:v>
      </x:c>
      <x:c r="E17" s="203" t="str">
        <x:v>$mm</x:v>
      </x:c>
      <x:c r="F17" s="203" t="str">
        <x:v>MSG Sports FY2026 Form 10-K</x:v>
      </x:c>
      <x:c r="G17" s="203" t="str">
        <x:v>Financial statements / revenue disaggregation</x:v>
      </x:c>
      <x:c r="H17" s="203" t="str">
        <x:v>https://www.sec.gov/Archives/edgar/data/1636519/000162828026056812/msgs-20260630.htm</x:v>
      </x:c>
      <x:c r="I17" s="203" t="str">
        <x:v>Reported</x:v>
      </x:c>
    </x:row>
    <x:row r="18">
      <x:c r="A18" s="203" t="str">
        <x:v>Reported MSG Sports</x:v>
      </x:c>
      <x:c r="B18" s="203" t="str">
        <x:v>Total revenue</x:v>
      </x:c>
      <x:c r="C18" s="203" t="str">
        <x:v>FY2025</x:v>
      </x:c>
      <x:c r="D18" s="204" t="n">
        <x:v>1039.22</x:v>
      </x:c>
      <x:c r="E18" s="203" t="str">
        <x:v>$mm</x:v>
      </x:c>
      <x:c r="F18" s="203" t="str">
        <x:v>MSG Sports FY2026 Form 10-K</x:v>
      </x:c>
      <x:c r="G18" s="203" t="str">
        <x:v>Financial statements / revenue disaggregation</x:v>
      </x:c>
      <x:c r="H18" s="203" t="str">
        <x:v>https://www.sec.gov/Archives/edgar/data/1636519/000162828026056812/msgs-20260630.htm</x:v>
      </x:c>
      <x:c r="I18" s="203" t="str">
        <x:v>Reported</x:v>
      </x:c>
    </x:row>
    <x:row r="19">
      <x:c r="A19" s="203" t="str">
        <x:v>Reported MSG Sports</x:v>
      </x:c>
      <x:c r="B19" s="203" t="str">
        <x:v>Total revenue</x:v>
      </x:c>
      <x:c r="C19" s="203" t="str">
        <x:v>FY2026</x:v>
      </x:c>
      <x:c r="D19" s="204" t="n">
        <x:v>1153.822</x:v>
      </x:c>
      <x:c r="E19" s="203" t="str">
        <x:v>$mm</x:v>
      </x:c>
      <x:c r="F19" s="203" t="str">
        <x:v>MSG Sports FY2026 Form 10-K</x:v>
      </x:c>
      <x:c r="G19" s="203" t="str">
        <x:v>Financial statements / revenue disaggregation</x:v>
      </x:c>
      <x:c r="H19" s="203" t="str">
        <x:v>https://www.sec.gov/Archives/edgar/data/1636519/000162828026056812/msgs-20260630.htm</x:v>
      </x:c>
      <x:c r="I19" s="203" t="str">
        <x:v>Reported</x:v>
      </x:c>
    </x:row>
    <x:row r="20">
      <x:c r="A20" s="203" t="str">
        <x:v>Reported MSG Sports</x:v>
      </x:c>
      <x:c r="B20" s="203" t="str">
        <x:v>Direct operating expense</x:v>
      </x:c>
      <x:c r="C20" s="203" t="str">
        <x:v>FY2024</x:v>
      </x:c>
      <x:c r="D20" s="204" t="n">
        <x:v>616.514</x:v>
      </x:c>
      <x:c r="E20" s="203" t="str">
        <x:v>$mm</x:v>
      </x:c>
      <x:c r="F20" s="203" t="str">
        <x:v>MSG Sports FY2026 Form 10-K</x:v>
      </x:c>
      <x:c r="G20" s="203" t="str">
        <x:v>Financial statements / revenue disaggregation</x:v>
      </x:c>
      <x:c r="H20" s="203" t="str">
        <x:v>https://www.sec.gov/Archives/edgar/data/1636519/000162828026056812/msgs-20260630.htm</x:v>
      </x:c>
      <x:c r="I20" s="203" t="str">
        <x:v>Reported</x:v>
      </x:c>
    </x:row>
    <x:row r="21">
      <x:c r="A21" s="203" t="str">
        <x:v>Reported MSG Sports</x:v>
      </x:c>
      <x:c r="B21" s="203" t="str">
        <x:v>Direct operating expense</x:v>
      </x:c>
      <x:c r="C21" s="203" t="str">
        <x:v>FY2025</x:v>
      </x:c>
      <x:c r="D21" s="204" t="n">
        <x:v>755.118</x:v>
      </x:c>
      <x:c r="E21" s="203" t="str">
        <x:v>$mm</x:v>
      </x:c>
      <x:c r="F21" s="203" t="str">
        <x:v>MSG Sports FY2026 Form 10-K</x:v>
      </x:c>
      <x:c r="G21" s="203" t="str">
        <x:v>Financial statements / revenue disaggregation</x:v>
      </x:c>
      <x:c r="H21" s="203" t="str">
        <x:v>https://www.sec.gov/Archives/edgar/data/1636519/000162828026056812/msgs-20260630.htm</x:v>
      </x:c>
      <x:c r="I21" s="203" t="str">
        <x:v>Reported</x:v>
      </x:c>
    </x:row>
    <x:row r="22">
      <x:c r="A22" s="203" t="str">
        <x:v>Reported MSG Sports</x:v>
      </x:c>
      <x:c r="B22" s="203" t="str">
        <x:v>Direct operating expense</x:v>
      </x:c>
      <x:c r="C22" s="203" t="str">
        <x:v>FY2026</x:v>
      </x:c>
      <x:c r="D22" s="204" t="n">
        <x:v>833.702</x:v>
      </x:c>
      <x:c r="E22" s="203" t="str">
        <x:v>$mm</x:v>
      </x:c>
      <x:c r="F22" s="203" t="str">
        <x:v>MSG Sports FY2026 Form 10-K</x:v>
      </x:c>
      <x:c r="G22" s="203" t="str">
        <x:v>Financial statements / revenue disaggregation</x:v>
      </x:c>
      <x:c r="H22" s="203" t="str">
        <x:v>https://www.sec.gov/Archives/edgar/data/1636519/000162828026056812/msgs-20260630.htm</x:v>
      </x:c>
      <x:c r="I22" s="203" t="str">
        <x:v>Reported</x:v>
      </x:c>
    </x:row>
    <x:row r="23">
      <x:c r="A23" s="203" t="str">
        <x:v>Reported MSG Sports</x:v>
      </x:c>
      <x:c r="B23" s="203" t="str">
        <x:v>SG&amp;A</x:v>
      </x:c>
      <x:c r="C23" s="203" t="str">
        <x:v>FY2024</x:v>
      </x:c>
      <x:c r="D23" s="204" t="n">
        <x:v>261.433</x:v>
      </x:c>
      <x:c r="E23" s="203" t="str">
        <x:v>$mm</x:v>
      </x:c>
      <x:c r="F23" s="203" t="str">
        <x:v>MSG Sports FY2026 Form 10-K</x:v>
      </x:c>
      <x:c r="G23" s="203" t="str">
        <x:v>Financial statements / revenue disaggregation</x:v>
      </x:c>
      <x:c r="H23" s="203" t="str">
        <x:v>https://www.sec.gov/Archives/edgar/data/1636519/000162828026056812/msgs-20260630.htm</x:v>
      </x:c>
      <x:c r="I23" s="203" t="str">
        <x:v>Reported</x:v>
      </x:c>
    </x:row>
    <x:row r="24">
      <x:c r="A24" s="203" t="str">
        <x:v>Reported MSG Sports</x:v>
      </x:c>
      <x:c r="B24" s="203" t="str">
        <x:v>SG&amp;A</x:v>
      </x:c>
      <x:c r="C24" s="203" t="str">
        <x:v>FY2025</x:v>
      </x:c>
      <x:c r="D24" s="204" t="n">
        <x:v>266.076</x:v>
      </x:c>
      <x:c r="E24" s="203" t="str">
        <x:v>$mm</x:v>
      </x:c>
      <x:c r="F24" s="203" t="str">
        <x:v>MSG Sports FY2026 Form 10-K</x:v>
      </x:c>
      <x:c r="G24" s="203" t="str">
        <x:v>Financial statements / revenue disaggregation</x:v>
      </x:c>
      <x:c r="H24" s="203" t="str">
        <x:v>https://www.sec.gov/Archives/edgar/data/1636519/000162828026056812/msgs-20260630.htm</x:v>
      </x:c>
      <x:c r="I24" s="203" t="str">
        <x:v>Reported</x:v>
      </x:c>
    </x:row>
    <x:row r="25">
      <x:c r="A25" s="203" t="str">
        <x:v>Reported MSG Sports</x:v>
      </x:c>
      <x:c r="B25" s="203" t="str">
        <x:v>SG&amp;A</x:v>
      </x:c>
      <x:c r="C25" s="203" t="str">
        <x:v>FY2026</x:v>
      </x:c>
      <x:c r="D25" s="204" t="n">
        <x:v>285.995</x:v>
      </x:c>
      <x:c r="E25" s="203" t="str">
        <x:v>$mm</x:v>
      </x:c>
      <x:c r="F25" s="203" t="str">
        <x:v>MSG Sports FY2026 Form 10-K</x:v>
      </x:c>
      <x:c r="G25" s="203" t="str">
        <x:v>Financial statements / revenue disaggregation</x:v>
      </x:c>
      <x:c r="H25" s="203" t="str">
        <x:v>https://www.sec.gov/Archives/edgar/data/1636519/000162828026056812/msgs-20260630.htm</x:v>
      </x:c>
      <x:c r="I25" s="203" t="str">
        <x:v>Reported</x:v>
      </x:c>
    </x:row>
    <x:row r="26">
      <x:c r="A26" s="203" t="str">
        <x:v>Reported MSG Sports</x:v>
      </x:c>
      <x:c r="B26" s="203" t="str">
        <x:v>D&amp;A</x:v>
      </x:c>
      <x:c r="C26" s="203" t="str">
        <x:v>FY2024</x:v>
      </x:c>
      <x:c r="D26" s="204" t="n">
        <x:v>3.164</x:v>
      </x:c>
      <x:c r="E26" s="203" t="str">
        <x:v>$mm</x:v>
      </x:c>
      <x:c r="F26" s="203" t="str">
        <x:v>MSG Sports FY2026 Form 10-K</x:v>
      </x:c>
      <x:c r="G26" s="203" t="str">
        <x:v>Financial statements / revenue disaggregation</x:v>
      </x:c>
      <x:c r="H26" s="203" t="str">
        <x:v>https://www.sec.gov/Archives/edgar/data/1636519/000162828026056812/msgs-20260630.htm</x:v>
      </x:c>
      <x:c r="I26" s="203" t="str">
        <x:v>Reported</x:v>
      </x:c>
    </x:row>
    <x:row r="27">
      <x:c r="A27" s="203" t="str">
        <x:v>Reported MSG Sports</x:v>
      </x:c>
      <x:c r="B27" s="203" t="str">
        <x:v>D&amp;A</x:v>
      </x:c>
      <x:c r="C27" s="203" t="str">
        <x:v>FY2025</x:v>
      </x:c>
      <x:c r="D27" s="204" t="n">
        <x:v>3.218</x:v>
      </x:c>
      <x:c r="E27" s="203" t="str">
        <x:v>$mm</x:v>
      </x:c>
      <x:c r="F27" s="203" t="str">
        <x:v>MSG Sports FY2026 Form 10-K</x:v>
      </x:c>
      <x:c r="G27" s="203" t="str">
        <x:v>Financial statements / revenue disaggregation</x:v>
      </x:c>
      <x:c r="H27" s="203" t="str">
        <x:v>https://www.sec.gov/Archives/edgar/data/1636519/000162828026056812/msgs-20260630.htm</x:v>
      </x:c>
      <x:c r="I27" s="203" t="str">
        <x:v>Reported</x:v>
      </x:c>
    </x:row>
    <x:row r="28">
      <x:c r="A28" s="203" t="str">
        <x:v>Reported MSG Sports</x:v>
      </x:c>
      <x:c r="B28" s="203" t="str">
        <x:v>D&amp;A</x:v>
      </x:c>
      <x:c r="C28" s="203" t="str">
        <x:v>FY2026</x:v>
      </x:c>
      <x:c r="D28" s="204" t="n">
        <x:v>3.179</x:v>
      </x:c>
      <x:c r="E28" s="203" t="str">
        <x:v>$mm</x:v>
      </x:c>
      <x:c r="F28" s="203" t="str">
        <x:v>MSG Sports FY2026 Form 10-K</x:v>
      </x:c>
      <x:c r="G28" s="203" t="str">
        <x:v>Financial statements / revenue disaggregation</x:v>
      </x:c>
      <x:c r="H28" s="203" t="str">
        <x:v>https://www.sec.gov/Archives/edgar/data/1636519/000162828026056812/msgs-20260630.htm</x:v>
      </x:c>
      <x:c r="I28" s="203" t="str">
        <x:v>Reported</x:v>
      </x:c>
    </x:row>
    <x:row r="29">
      <x:c r="A29" s="203" t="str">
        <x:v>Reported MSG Sports</x:v>
      </x:c>
      <x:c r="B29" s="203" t="str">
        <x:v>Restructuring</x:v>
      </x:c>
      <x:c r="C29" s="203" t="str">
        <x:v>FY2024</x:v>
      </x:c>
      <x:c r="D29" s="204" t="n">
        <x:v>0</x:v>
      </x:c>
      <x:c r="E29" s="203" t="str">
        <x:v>$mm</x:v>
      </x:c>
      <x:c r="F29" s="203" t="str">
        <x:v>MSG Sports FY2026 Form 10-K</x:v>
      </x:c>
      <x:c r="G29" s="203" t="str">
        <x:v>Financial statements / revenue disaggregation</x:v>
      </x:c>
      <x:c r="H29" s="203" t="str">
        <x:v>https://www.sec.gov/Archives/edgar/data/1636519/000162828026056812/msgs-20260630.htm</x:v>
      </x:c>
      <x:c r="I29" s="203" t="str">
        <x:v>Reported</x:v>
      </x:c>
    </x:row>
    <x:row r="30">
      <x:c r="A30" s="203" t="str">
        <x:v>Reported MSG Sports</x:v>
      </x:c>
      <x:c r="B30" s="203" t="str">
        <x:v>Restructuring</x:v>
      </x:c>
      <x:c r="C30" s="203" t="str">
        <x:v>FY2025</x:v>
      </x:c>
      <x:c r="D30" s="204" t="n">
        <x:v>0</x:v>
      </x:c>
      <x:c r="E30" s="203" t="str">
        <x:v>$mm</x:v>
      </x:c>
      <x:c r="F30" s="203" t="str">
        <x:v>MSG Sports FY2026 Form 10-K</x:v>
      </x:c>
      <x:c r="G30" s="203" t="str">
        <x:v>Financial statements / revenue disaggregation</x:v>
      </x:c>
      <x:c r="H30" s="203" t="str">
        <x:v>https://www.sec.gov/Archives/edgar/data/1636519/000162828026056812/msgs-20260630.htm</x:v>
      </x:c>
      <x:c r="I30" s="203" t="str">
        <x:v>Reported</x:v>
      </x:c>
    </x:row>
    <x:row r="31">
      <x:c r="A31" s="203" t="str">
        <x:v>Reported MSG Sports</x:v>
      </x:c>
      <x:c r="B31" s="203" t="str">
        <x:v>Restructuring</x:v>
      </x:c>
      <x:c r="C31" s="203" t="str">
        <x:v>FY2026</x:v>
      </x:c>
      <x:c r="D31" s="204" t="n">
        <x:v>2.078</x:v>
      </x:c>
      <x:c r="E31" s="203" t="str">
        <x:v>$mm</x:v>
      </x:c>
      <x:c r="F31" s="203" t="str">
        <x:v>MSG Sports FY2026 Form 10-K</x:v>
      </x:c>
      <x:c r="G31" s="203" t="str">
        <x:v>Financial statements / revenue disaggregation</x:v>
      </x:c>
      <x:c r="H31" s="203" t="str">
        <x:v>https://www.sec.gov/Archives/edgar/data/1636519/000162828026056812/msgs-20260630.htm</x:v>
      </x:c>
      <x:c r="I31" s="203" t="str">
        <x:v>Reported</x:v>
      </x:c>
    </x:row>
    <x:row r="32">
      <x:c r="A32" s="203" t="str">
        <x:v>Reported MSG Sports</x:v>
      </x:c>
      <x:c r="B32" s="203" t="str">
        <x:v>Operating income</x:v>
      </x:c>
      <x:c r="C32" s="203" t="str">
        <x:v>FY2024</x:v>
      </x:c>
      <x:c r="D32" s="204" t="n">
        <x:v>146.038</x:v>
      </x:c>
      <x:c r="E32" s="203" t="str">
        <x:v>$mm</x:v>
      </x:c>
      <x:c r="F32" s="203" t="str">
        <x:v>MSG Sports FY2026 Form 10-K</x:v>
      </x:c>
      <x:c r="G32" s="203" t="str">
        <x:v>Financial statements / revenue disaggregation</x:v>
      </x:c>
      <x:c r="H32" s="203" t="str">
        <x:v>https://www.sec.gov/Archives/edgar/data/1636519/000162828026056812/msgs-20260630.htm</x:v>
      </x:c>
      <x:c r="I32" s="203" t="str">
        <x:v>Reported</x:v>
      </x:c>
    </x:row>
    <x:row r="33">
      <x:c r="A33" s="203" t="str">
        <x:v>Reported MSG Sports</x:v>
      </x:c>
      <x:c r="B33" s="203" t="str">
        <x:v>Operating income</x:v>
      </x:c>
      <x:c r="C33" s="203" t="str">
        <x:v>FY2025</x:v>
      </x:c>
      <x:c r="D33" s="204" t="n">
        <x:v>14.808</x:v>
      </x:c>
      <x:c r="E33" s="203" t="str">
        <x:v>$mm</x:v>
      </x:c>
      <x:c r="F33" s="203" t="str">
        <x:v>MSG Sports FY2026 Form 10-K</x:v>
      </x:c>
      <x:c r="G33" s="203" t="str">
        <x:v>Financial statements / revenue disaggregation</x:v>
      </x:c>
      <x:c r="H33" s="203" t="str">
        <x:v>https://www.sec.gov/Archives/edgar/data/1636519/000162828026056812/msgs-20260630.htm</x:v>
      </x:c>
      <x:c r="I33" s="203" t="str">
        <x:v>Reported</x:v>
      </x:c>
    </x:row>
    <x:row r="34">
      <x:c r="A34" s="203" t="str">
        <x:v>Reported MSG Sports</x:v>
      </x:c>
      <x:c r="B34" s="203" t="str">
        <x:v>Operating income</x:v>
      </x:c>
      <x:c r="C34" s="203" t="str">
        <x:v>FY2026</x:v>
      </x:c>
      <x:c r="D34" s="204" t="n">
        <x:v>28.868</x:v>
      </x:c>
      <x:c r="E34" s="203" t="str">
        <x:v>$mm</x:v>
      </x:c>
      <x:c r="F34" s="203" t="str">
        <x:v>MSG Sports FY2026 Form 10-K</x:v>
      </x:c>
      <x:c r="G34" s="203" t="str">
        <x:v>Financial statements / revenue disaggregation</x:v>
      </x:c>
      <x:c r="H34" s="203" t="str">
        <x:v>https://www.sec.gov/Archives/edgar/data/1636519/000162828026056812/msgs-20260630.htm</x:v>
      </x:c>
      <x:c r="I34" s="203" t="str">
        <x:v>Reported</x:v>
      </x:c>
    </x:row>
    <x:row r="35">
      <x:c r="A35" s="203" t="str">
        <x:v>Reported MSG Sports</x:v>
      </x:c>
      <x:c r="B35" s="203" t="str">
        <x:v>Interest income</x:v>
      </x:c>
      <x:c r="C35" s="203" t="str">
        <x:v>FY2024</x:v>
      </x:c>
      <x:c r="D35" s="204" t="n">
        <x:v>2.787</x:v>
      </x:c>
      <x:c r="E35" s="203" t="str">
        <x:v>$mm</x:v>
      </x:c>
      <x:c r="F35" s="203" t="str">
        <x:v>MSG Sports FY2026 Form 10-K</x:v>
      </x:c>
      <x:c r="G35" s="203" t="str">
        <x:v>Financial statements / revenue disaggregation</x:v>
      </x:c>
      <x:c r="H35" s="203" t="str">
        <x:v>https://www.sec.gov/Archives/edgar/data/1636519/000162828026056812/msgs-20260630.htm</x:v>
      </x:c>
      <x:c r="I35" s="203" t="str">
        <x:v>Reported</x:v>
      </x:c>
    </x:row>
    <x:row r="36">
      <x:c r="A36" s="203" t="str">
        <x:v>Reported MSG Sports</x:v>
      </x:c>
      <x:c r="B36" s="203" t="str">
        <x:v>Interest income</x:v>
      </x:c>
      <x:c r="C36" s="203" t="str">
        <x:v>FY2025</x:v>
      </x:c>
      <x:c r="D36" s="204" t="n">
        <x:v>4.034</x:v>
      </x:c>
      <x:c r="E36" s="203" t="str">
        <x:v>$mm</x:v>
      </x:c>
      <x:c r="F36" s="203" t="str">
        <x:v>MSG Sports FY2026 Form 10-K</x:v>
      </x:c>
      <x:c r="G36" s="203" t="str">
        <x:v>Financial statements / revenue disaggregation</x:v>
      </x:c>
      <x:c r="H36" s="203" t="str">
        <x:v>https://www.sec.gov/Archives/edgar/data/1636519/000162828026056812/msgs-20260630.htm</x:v>
      </x:c>
      <x:c r="I36" s="203" t="str">
        <x:v>Reported</x:v>
      </x:c>
    </x:row>
    <x:row r="37">
      <x:c r="A37" s="203" t="str">
        <x:v>Reported MSG Sports</x:v>
      </x:c>
      <x:c r="B37" s="203" t="str">
        <x:v>Interest income</x:v>
      </x:c>
      <x:c r="C37" s="203" t="str">
        <x:v>FY2026</x:v>
      </x:c>
      <x:c r="D37" s="204" t="n">
        <x:v>2.939</x:v>
      </x:c>
      <x:c r="E37" s="203" t="str">
        <x:v>$mm</x:v>
      </x:c>
      <x:c r="F37" s="203" t="str">
        <x:v>MSG Sports FY2026 Form 10-K</x:v>
      </x:c>
      <x:c r="G37" s="203" t="str">
        <x:v>Financial statements / revenue disaggregation</x:v>
      </x:c>
      <x:c r="H37" s="203" t="str">
        <x:v>https://www.sec.gov/Archives/edgar/data/1636519/000162828026056812/msgs-20260630.htm</x:v>
      </x:c>
      <x:c r="I37" s="203" t="str">
        <x:v>Reported</x:v>
      </x:c>
    </x:row>
    <x:row r="38">
      <x:c r="A38" s="203" t="str">
        <x:v>Reported MSG Sports</x:v>
      </x:c>
      <x:c r="B38" s="203" t="str">
        <x:v>Interest expense</x:v>
      </x:c>
      <x:c r="C38" s="203" t="str">
        <x:v>FY2024</x:v>
      </x:c>
      <x:c r="D38" s="204" t="n">
        <x:v>-27.589</x:v>
      </x:c>
      <x:c r="E38" s="203" t="str">
        <x:v>$mm</x:v>
      </x:c>
      <x:c r="F38" s="203" t="str">
        <x:v>MSG Sports FY2026 Form 10-K</x:v>
      </x:c>
      <x:c r="G38" s="203" t="str">
        <x:v>Financial statements / revenue disaggregation</x:v>
      </x:c>
      <x:c r="H38" s="203" t="str">
        <x:v>https://www.sec.gov/Archives/edgar/data/1636519/000162828026056812/msgs-20260630.htm</x:v>
      </x:c>
      <x:c r="I38" s="203" t="str">
        <x:v>Reported</x:v>
      </x:c>
    </x:row>
    <x:row r="39">
      <x:c r="A39" s="203" t="str">
        <x:v>Reported MSG Sports</x:v>
      </x:c>
      <x:c r="B39" s="203" t="str">
        <x:v>Interest expense</x:v>
      </x:c>
      <x:c r="C39" s="203" t="str">
        <x:v>FY2025</x:v>
      </x:c>
      <x:c r="D39" s="204" t="n">
        <x:v>-21.652</x:v>
      </x:c>
      <x:c r="E39" s="203" t="str">
        <x:v>$mm</x:v>
      </x:c>
      <x:c r="F39" s="203" t="str">
        <x:v>MSG Sports FY2026 Form 10-K</x:v>
      </x:c>
      <x:c r="G39" s="203" t="str">
        <x:v>Financial statements / revenue disaggregation</x:v>
      </x:c>
      <x:c r="H39" s="203" t="str">
        <x:v>https://www.sec.gov/Archives/edgar/data/1636519/000162828026056812/msgs-20260630.htm</x:v>
      </x:c>
      <x:c r="I39" s="203" t="str">
        <x:v>Reported</x:v>
      </x:c>
    </x:row>
    <x:row r="40">
      <x:c r="A40" s="203" t="str">
        <x:v>Reported MSG Sports</x:v>
      </x:c>
      <x:c r="B40" s="203" t="str">
        <x:v>Interest expense</x:v>
      </x:c>
      <x:c r="C40" s="203" t="str">
        <x:v>FY2026</x:v>
      </x:c>
      <x:c r="D40" s="204" t="n">
        <x:v>-21.085</x:v>
      </x:c>
      <x:c r="E40" s="203" t="str">
        <x:v>$mm</x:v>
      </x:c>
      <x:c r="F40" s="203" t="str">
        <x:v>MSG Sports FY2026 Form 10-K</x:v>
      </x:c>
      <x:c r="G40" s="203" t="str">
        <x:v>Financial statements / revenue disaggregation</x:v>
      </x:c>
      <x:c r="H40" s="203" t="str">
        <x:v>https://www.sec.gov/Archives/edgar/data/1636519/000162828026056812/msgs-20260630.htm</x:v>
      </x:c>
      <x:c r="I40" s="203" t="str">
        <x:v>Reported</x:v>
      </x:c>
    </x:row>
    <x:row r="41">
      <x:c r="A41" s="203" t="str">
        <x:v>Reported MSG Sports</x:v>
      </x:c>
      <x:c r="B41" s="203" t="str">
        <x:v>Miscellaneous</x:v>
      </x:c>
      <x:c r="C41" s="203" t="str">
        <x:v>FY2024</x:v>
      </x:c>
      <x:c r="D41" s="204" t="n">
        <x:v>-15.568</x:v>
      </x:c>
      <x:c r="E41" s="203" t="str">
        <x:v>$mm</x:v>
      </x:c>
      <x:c r="F41" s="203" t="str">
        <x:v>MSG Sports FY2026 Form 10-K</x:v>
      </x:c>
      <x:c r="G41" s="203" t="str">
        <x:v>Financial statements / revenue disaggregation</x:v>
      </x:c>
      <x:c r="H41" s="203" t="str">
        <x:v>https://www.sec.gov/Archives/edgar/data/1636519/000162828026056812/msgs-20260630.htm</x:v>
      </x:c>
      <x:c r="I41" s="203" t="str">
        <x:v>Reported</x:v>
      </x:c>
    </x:row>
    <x:row r="42">
      <x:c r="A42" s="203" t="str">
        <x:v>Reported MSG Sports</x:v>
      </x:c>
      <x:c r="B42" s="203" t="str">
        <x:v>Miscellaneous</x:v>
      </x:c>
      <x:c r="C42" s="203" t="str">
        <x:v>FY2025</x:v>
      </x:c>
      <x:c r="D42" s="204" t="n">
        <x:v>-14.462</x:v>
      </x:c>
      <x:c r="E42" s="203" t="str">
        <x:v>$mm</x:v>
      </x:c>
      <x:c r="F42" s="203" t="str">
        <x:v>MSG Sports FY2026 Form 10-K</x:v>
      </x:c>
      <x:c r="G42" s="203" t="str">
        <x:v>Financial statements / revenue disaggregation</x:v>
      </x:c>
      <x:c r="H42" s="203" t="str">
        <x:v>https://www.sec.gov/Archives/edgar/data/1636519/000162828026056812/msgs-20260630.htm</x:v>
      </x:c>
      <x:c r="I42" s="203" t="str">
        <x:v>Reported</x:v>
      </x:c>
    </x:row>
    <x:row r="43">
      <x:c r="A43" s="203" t="str">
        <x:v>Reported MSG Sports</x:v>
      </x:c>
      <x:c r="B43" s="203" t="str">
        <x:v>Miscellaneous</x:v>
      </x:c>
      <x:c r="C43" s="203" t="str">
        <x:v>FY2026</x:v>
      </x:c>
      <x:c r="D43" s="204" t="n">
        <x:v>7.261</x:v>
      </x:c>
      <x:c r="E43" s="203" t="str">
        <x:v>$mm</x:v>
      </x:c>
      <x:c r="F43" s="203" t="str">
        <x:v>MSG Sports FY2026 Form 10-K</x:v>
      </x:c>
      <x:c r="G43" s="203" t="str">
        <x:v>Financial statements / revenue disaggregation</x:v>
      </x:c>
      <x:c r="H43" s="203" t="str">
        <x:v>https://www.sec.gov/Archives/edgar/data/1636519/000162828026056812/msgs-20260630.htm</x:v>
      </x:c>
      <x:c r="I43" s="203" t="str">
        <x:v>Reported</x:v>
      </x:c>
    </x:row>
    <x:row r="44">
      <x:c r="A44" s="203" t="str">
        <x:v>Reported MSG Sports</x:v>
      </x:c>
      <x:c r="B44" s="203" t="str">
        <x:v>Pre-tax income</x:v>
      </x:c>
      <x:c r="C44" s="203" t="str">
        <x:v>FY2024</x:v>
      </x:c>
      <x:c r="D44" s="204" t="n">
        <x:v>105.668</x:v>
      </x:c>
      <x:c r="E44" s="203" t="str">
        <x:v>$mm</x:v>
      </x:c>
      <x:c r="F44" s="203" t="str">
        <x:v>MSG Sports FY2026 Form 10-K</x:v>
      </x:c>
      <x:c r="G44" s="203" t="str">
        <x:v>Financial statements / revenue disaggregation</x:v>
      </x:c>
      <x:c r="H44" s="203" t="str">
        <x:v>https://www.sec.gov/Archives/edgar/data/1636519/000162828026056812/msgs-20260630.htm</x:v>
      </x:c>
      <x:c r="I44" s="203" t="str">
        <x:v>Reported</x:v>
      </x:c>
    </x:row>
    <x:row r="45">
      <x:c r="A45" s="203" t="str">
        <x:v>Reported MSG Sports</x:v>
      </x:c>
      <x:c r="B45" s="203" t="str">
        <x:v>Pre-tax income</x:v>
      </x:c>
      <x:c r="C45" s="203" t="str">
        <x:v>FY2025</x:v>
      </x:c>
      <x:c r="D45" s="204" t="n">
        <x:v>-17.272</x:v>
      </x:c>
      <x:c r="E45" s="203" t="str">
        <x:v>$mm</x:v>
      </x:c>
      <x:c r="F45" s="203" t="str">
        <x:v>MSG Sports FY2026 Form 10-K</x:v>
      </x:c>
      <x:c r="G45" s="203" t="str">
        <x:v>Financial statements / revenue disaggregation</x:v>
      </x:c>
      <x:c r="H45" s="203" t="str">
        <x:v>https://www.sec.gov/Archives/edgar/data/1636519/000162828026056812/msgs-20260630.htm</x:v>
      </x:c>
      <x:c r="I45" s="203" t="str">
        <x:v>Reported</x:v>
      </x:c>
    </x:row>
    <x:row r="46">
      <x:c r="A46" s="203" t="str">
        <x:v>Reported MSG Sports</x:v>
      </x:c>
      <x:c r="B46" s="203" t="str">
        <x:v>Pre-tax income</x:v>
      </x:c>
      <x:c r="C46" s="203" t="str">
        <x:v>FY2026</x:v>
      </x:c>
      <x:c r="D46" s="204" t="n">
        <x:v>17.983</x:v>
      </x:c>
      <x:c r="E46" s="203" t="str">
        <x:v>$mm</x:v>
      </x:c>
      <x:c r="F46" s="203" t="str">
        <x:v>MSG Sports FY2026 Form 10-K</x:v>
      </x:c>
      <x:c r="G46" s="203" t="str">
        <x:v>Financial statements / revenue disaggregation</x:v>
      </x:c>
      <x:c r="H46" s="203" t="str">
        <x:v>https://www.sec.gov/Archives/edgar/data/1636519/000162828026056812/msgs-20260630.htm</x:v>
      </x:c>
      <x:c r="I46" s="203" t="str">
        <x:v>Reported</x:v>
      </x:c>
    </x:row>
    <x:row r="47">
      <x:c r="A47" s="203" t="str">
        <x:v>Reported MSG Sports</x:v>
      </x:c>
      <x:c r="B47" s="203" t="str">
        <x:v>Income tax expense / benefit</x:v>
      </x:c>
      <x:c r="C47" s="203" t="str">
        <x:v>FY2024</x:v>
      </x:c>
      <x:c r="D47" s="204" t="n">
        <x:v>-46.897</x:v>
      </x:c>
      <x:c r="E47" s="203" t="str">
        <x:v>$mm</x:v>
      </x:c>
      <x:c r="F47" s="203" t="str">
        <x:v>MSG Sports FY2026 Form 10-K</x:v>
      </x:c>
      <x:c r="G47" s="203" t="str">
        <x:v>Financial statements / revenue disaggregation</x:v>
      </x:c>
      <x:c r="H47" s="203" t="str">
        <x:v>https://www.sec.gov/Archives/edgar/data/1636519/000162828026056812/msgs-20260630.htm</x:v>
      </x:c>
      <x:c r="I47" s="203" t="str">
        <x:v>Reported</x:v>
      </x:c>
    </x:row>
    <x:row r="48">
      <x:c r="A48" s="203" t="str">
        <x:v>Reported MSG Sports</x:v>
      </x:c>
      <x:c r="B48" s="203" t="str">
        <x:v>Income tax expense / benefit</x:v>
      </x:c>
      <x:c r="C48" s="203" t="str">
        <x:v>FY2025</x:v>
      </x:c>
      <x:c r="D48" s="204" t="n">
        <x:v>-5.166</x:v>
      </x:c>
      <x:c r="E48" s="203" t="str">
        <x:v>$mm</x:v>
      </x:c>
      <x:c r="F48" s="203" t="str">
        <x:v>MSG Sports FY2026 Form 10-K</x:v>
      </x:c>
      <x:c r="G48" s="203" t="str">
        <x:v>Financial statements / revenue disaggregation</x:v>
      </x:c>
      <x:c r="H48" s="203" t="str">
        <x:v>https://www.sec.gov/Archives/edgar/data/1636519/000162828026056812/msgs-20260630.htm</x:v>
      </x:c>
      <x:c r="I48" s="203" t="str">
        <x:v>Reported</x:v>
      </x:c>
    </x:row>
    <x:row r="49">
      <x:c r="A49" s="203" t="str">
        <x:v>Reported MSG Sports</x:v>
      </x:c>
      <x:c r="B49" s="203" t="str">
        <x:v>Income tax expense / benefit</x:v>
      </x:c>
      <x:c r="C49" s="203" t="str">
        <x:v>FY2026</x:v>
      </x:c>
      <x:c r="D49" s="204" t="n">
        <x:v>-10.224</x:v>
      </x:c>
      <x:c r="E49" s="203" t="str">
        <x:v>$mm</x:v>
      </x:c>
      <x:c r="F49" s="203" t="str">
        <x:v>MSG Sports FY2026 Form 10-K</x:v>
      </x:c>
      <x:c r="G49" s="203" t="str">
        <x:v>Financial statements / revenue disaggregation</x:v>
      </x:c>
      <x:c r="H49" s="203" t="str">
        <x:v>https://www.sec.gov/Archives/edgar/data/1636519/000162828026056812/msgs-20260630.htm</x:v>
      </x:c>
      <x:c r="I49" s="203" t="str">
        <x:v>Reported</x:v>
      </x:c>
    </x:row>
    <x:row r="50">
      <x:c r="A50" s="203" t="str">
        <x:v>Reported MSG Sports</x:v>
      </x:c>
      <x:c r="B50" s="203" t="str">
        <x:v>Net income</x:v>
      </x:c>
      <x:c r="C50" s="203" t="str">
        <x:v>FY2024</x:v>
      </x:c>
      <x:c r="D50" s="204" t="n">
        <x:v>58.771</x:v>
      </x:c>
      <x:c r="E50" s="203" t="str">
        <x:v>$mm</x:v>
      </x:c>
      <x:c r="F50" s="203" t="str">
        <x:v>MSG Sports FY2026 Form 10-K</x:v>
      </x:c>
      <x:c r="G50" s="203" t="str">
        <x:v>Financial statements / revenue disaggregation</x:v>
      </x:c>
      <x:c r="H50" s="203" t="str">
        <x:v>https://www.sec.gov/Archives/edgar/data/1636519/000162828026056812/msgs-20260630.htm</x:v>
      </x:c>
      <x:c r="I50" s="203" t="str">
        <x:v>Reported</x:v>
      </x:c>
    </x:row>
    <x:row r="51">
      <x:c r="A51" s="203" t="str">
        <x:v>Reported MSG Sports</x:v>
      </x:c>
      <x:c r="B51" s="203" t="str">
        <x:v>Net income</x:v>
      </x:c>
      <x:c r="C51" s="203" t="str">
        <x:v>FY2025</x:v>
      </x:c>
      <x:c r="D51" s="204" t="n">
        <x:v>-22.438</x:v>
      </x:c>
      <x:c r="E51" s="203" t="str">
        <x:v>$mm</x:v>
      </x:c>
      <x:c r="F51" s="203" t="str">
        <x:v>MSG Sports FY2026 Form 10-K</x:v>
      </x:c>
      <x:c r="G51" s="203" t="str">
        <x:v>Financial statements / revenue disaggregation</x:v>
      </x:c>
      <x:c r="H51" s="203" t="str">
        <x:v>https://www.sec.gov/Archives/edgar/data/1636519/000162828026056812/msgs-20260630.htm</x:v>
      </x:c>
      <x:c r="I51" s="203" t="str">
        <x:v>Reported</x:v>
      </x:c>
    </x:row>
    <x:row r="52">
      <x:c r="A52" s="203" t="str">
        <x:v>Reported MSG Sports</x:v>
      </x:c>
      <x:c r="B52" s="203" t="str">
        <x:v>Net income</x:v>
      </x:c>
      <x:c r="C52" s="203" t="str">
        <x:v>FY2026</x:v>
      </x:c>
      <x:c r="D52" s="204" t="n">
        <x:v>7.759</x:v>
      </x:c>
      <x:c r="E52" s="203" t="str">
        <x:v>$mm</x:v>
      </x:c>
      <x:c r="F52" s="203" t="str">
        <x:v>MSG Sports FY2026 Form 10-K</x:v>
      </x:c>
      <x:c r="G52" s="203" t="str">
        <x:v>Financial statements / revenue disaggregation</x:v>
      </x:c>
      <x:c r="H52" s="203" t="str">
        <x:v>https://www.sec.gov/Archives/edgar/data/1636519/000162828026056812/msgs-20260630.htm</x:v>
      </x:c>
      <x:c r="I52" s="203" t="str">
        <x:v>Reported</x:v>
      </x:c>
    </x:row>
    <x:row r="53">
      <x:c r="A53" s="203" t="str">
        <x:v>Reported MSG Sports</x:v>
      </x:c>
      <x:c r="B53" s="203" t="str">
        <x:v>Cash flow from operations</x:v>
      </x:c>
      <x:c r="C53" s="203" t="str">
        <x:v>FY2024</x:v>
      </x:c>
      <x:c r="D53" s="204" t="n">
        <x:v>92.131</x:v>
      </x:c>
      <x:c r="E53" s="203" t="str">
        <x:v>$mm</x:v>
      </x:c>
      <x:c r="F53" s="203" t="str">
        <x:v>MSG Sports FY2026 Form 10-K</x:v>
      </x:c>
      <x:c r="G53" s="203" t="str">
        <x:v>Financial statements / revenue disaggregation</x:v>
      </x:c>
      <x:c r="H53" s="203" t="str">
        <x:v>https://www.sec.gov/Archives/edgar/data/1636519/000162828026056812/msgs-20260630.htm</x:v>
      </x:c>
      <x:c r="I53" s="203" t="str">
        <x:v>Reported</x:v>
      </x:c>
    </x:row>
    <x:row r="54">
      <x:c r="A54" s="203" t="str">
        <x:v>Reported MSG Sports</x:v>
      </x:c>
      <x:c r="B54" s="203" t="str">
        <x:v>Cash flow from operations</x:v>
      </x:c>
      <x:c r="C54" s="203" t="str">
        <x:v>FY2025</x:v>
      </x:c>
      <x:c r="D54" s="204" t="n">
        <x:v>91.607</x:v>
      </x:c>
      <x:c r="E54" s="203" t="str">
        <x:v>$mm</x:v>
      </x:c>
      <x:c r="F54" s="203" t="str">
        <x:v>MSG Sports FY2026 Form 10-K</x:v>
      </x:c>
      <x:c r="G54" s="203" t="str">
        <x:v>Financial statements / revenue disaggregation</x:v>
      </x:c>
      <x:c r="H54" s="203" t="str">
        <x:v>https://www.sec.gov/Archives/edgar/data/1636519/000162828026056812/msgs-20260630.htm</x:v>
      </x:c>
      <x:c r="I54" s="203" t="str">
        <x:v>Reported</x:v>
      </x:c>
    </x:row>
    <x:row r="55">
      <x:c r="A55" s="203" t="str">
        <x:v>Reported MSG Sports</x:v>
      </x:c>
      <x:c r="B55" s="203" t="str">
        <x:v>Cash flow from operations</x:v>
      </x:c>
      <x:c r="C55" s="203" t="str">
        <x:v>FY2026</x:v>
      </x:c>
      <x:c r="D55" s="204" t="n">
        <x:v>62.663</x:v>
      </x:c>
      <x:c r="E55" s="203" t="str">
        <x:v>$mm</x:v>
      </x:c>
      <x:c r="F55" s="203" t="str">
        <x:v>MSG Sports FY2026 Form 10-K</x:v>
      </x:c>
      <x:c r="G55" s="203" t="str">
        <x:v>Financial statements / revenue disaggregation</x:v>
      </x:c>
      <x:c r="H55" s="203" t="str">
        <x:v>https://www.sec.gov/Archives/edgar/data/1636519/000162828026056812/msgs-20260630.htm</x:v>
      </x:c>
      <x:c r="I55" s="203" t="str">
        <x:v>Reported</x:v>
      </x:c>
    </x:row>
    <x:row r="56">
      <x:c r="A56" s="203" t="str">
        <x:v>Reported MSG Sports</x:v>
      </x:c>
      <x:c r="B56" s="203" t="str">
        <x:v>Capital spending</x:v>
      </x:c>
      <x:c r="C56" s="203" t="str">
        <x:v>FY2024</x:v>
      </x:c>
      <x:c r="D56" s="204" t="n">
        <x:v>1.451</x:v>
      </x:c>
      <x:c r="E56" s="203" t="str">
        <x:v>$mm</x:v>
      </x:c>
      <x:c r="F56" s="203" t="str">
        <x:v>MSG Sports FY2026 Form 10-K</x:v>
      </x:c>
      <x:c r="G56" s="203" t="str">
        <x:v>Financial statements / revenue disaggregation</x:v>
      </x:c>
      <x:c r="H56" s="203" t="str">
        <x:v>https://www.sec.gov/Archives/edgar/data/1636519/000162828026056812/msgs-20260630.htm</x:v>
      </x:c>
      <x:c r="I56" s="203" t="str">
        <x:v>Reported</x:v>
      </x:c>
    </x:row>
    <x:row r="57">
      <x:c r="A57" s="203" t="str">
        <x:v>Reported MSG Sports</x:v>
      </x:c>
      <x:c r="B57" s="203" t="str">
        <x:v>Capital spending</x:v>
      </x:c>
      <x:c r="C57" s="203" t="str">
        <x:v>FY2025</x:v>
      </x:c>
      <x:c r="D57" s="204" t="n">
        <x:v>3.621</x:v>
      </x:c>
      <x:c r="E57" s="203" t="str">
        <x:v>$mm</x:v>
      </x:c>
      <x:c r="F57" s="203" t="str">
        <x:v>MSG Sports FY2026 Form 10-K</x:v>
      </x:c>
      <x:c r="G57" s="203" t="str">
        <x:v>Financial statements / revenue disaggregation</x:v>
      </x:c>
      <x:c r="H57" s="203" t="str">
        <x:v>https://www.sec.gov/Archives/edgar/data/1636519/000162828026056812/msgs-20260630.htm</x:v>
      </x:c>
      <x:c r="I57" s="203" t="str">
        <x:v>Reported</x:v>
      </x:c>
    </x:row>
    <x:row r="58">
      <x:c r="A58" s="203" t="str">
        <x:v>Reported MSG Sports</x:v>
      </x:c>
      <x:c r="B58" s="203" t="str">
        <x:v>Capital spending</x:v>
      </x:c>
      <x:c r="C58" s="203" t="str">
        <x:v>FY2026</x:v>
      </x:c>
      <x:c r="D58" s="204" t="n">
        <x:v>1.407</x:v>
      </x:c>
      <x:c r="E58" s="203" t="str">
        <x:v>$mm</x:v>
      </x:c>
      <x:c r="F58" s="203" t="str">
        <x:v>MSG Sports FY2026 Form 10-K</x:v>
      </x:c>
      <x:c r="G58" s="203" t="str">
        <x:v>Financial statements / revenue disaggregation</x:v>
      </x:c>
      <x:c r="H58" s="203" t="str">
        <x:v>https://www.sec.gov/Archives/edgar/data/1636519/000162828026056812/msgs-20260630.htm</x:v>
      </x:c>
      <x:c r="I58" s="203" t="str">
        <x:v>Reported</x:v>
      </x:c>
    </x:row>
    <x:row r="59">
      <x:c r="A59" s="203" t="str">
        <x:v>Reported Rangers carve-out</x:v>
      </x:c>
      <x:c r="B59" s="203" t="str">
        <x:v>Event-related revenue</x:v>
      </x:c>
      <x:c r="C59" s="203" t="str">
        <x:v>FY2024</x:v>
      </x:c>
      <x:c r="D59" s="204" t="n">
        <x:v>210.789</x:v>
      </x:c>
      <x:c r="E59" s="203" t="str">
        <x:v>$mm</x:v>
      </x:c>
      <x:c r="F59" s="203" t="str">
        <x:v>Rangers Form 10 information statement</x:v>
      </x:c>
      <x:c r="G59" s="203" t="str">
        <x:v>Combined financial statements / revenue disaggregation</x:v>
      </x:c>
      <x:c r="H59" s="203" t="str">
        <x:v>https://www.sec.gov/Archives/edgar/data/2132873/000119312526419170/d122415dex991.htm</x:v>
      </x:c>
      <x:c r="I59" s="203" t="str">
        <x:v>Reported</x:v>
      </x:c>
    </x:row>
    <x:row r="60">
      <x:c r="A60" s="203" t="str">
        <x:v>Reported Rangers carve-out</x:v>
      </x:c>
      <x:c r="B60" s="203" t="str">
        <x:v>Event-related revenue</x:v>
      </x:c>
      <x:c r="C60" s="203" t="str">
        <x:v>FY2025</x:v>
      </x:c>
      <x:c r="D60" s="204" t="n">
        <x:v>150.645</x:v>
      </x:c>
      <x:c r="E60" s="203" t="str">
        <x:v>$mm</x:v>
      </x:c>
      <x:c r="F60" s="203" t="str">
        <x:v>Rangers Form 10 information statement</x:v>
      </x:c>
      <x:c r="G60" s="203" t="str">
        <x:v>Combined financial statements / revenue disaggregation</x:v>
      </x:c>
      <x:c r="H60" s="203" t="str">
        <x:v>https://www.sec.gov/Archives/edgar/data/2132873/000119312526419170/d122415dex991.htm</x:v>
      </x:c>
      <x:c r="I60" s="203" t="str">
        <x:v>Reported</x:v>
      </x:c>
    </x:row>
    <x:row r="61">
      <x:c r="A61" s="203" t="str">
        <x:v>Reported Rangers carve-out</x:v>
      </x:c>
      <x:c r="B61" s="203" t="str">
        <x:v>Event-related revenue</x:v>
      </x:c>
      <x:c r="C61" s="203" t="str">
        <x:v>FY2026</x:v>
      </x:c>
      <x:c r="D61" s="204" t="n">
        <x:v>146.114</x:v>
      </x:c>
      <x:c r="E61" s="203" t="str">
        <x:v>$mm</x:v>
      </x:c>
      <x:c r="F61" s="203" t="str">
        <x:v>Rangers Form 10 information statement</x:v>
      </x:c>
      <x:c r="G61" s="203" t="str">
        <x:v>Combined financial statements / revenue disaggregation</x:v>
      </x:c>
      <x:c r="H61" s="203" t="str">
        <x:v>https://www.sec.gov/Archives/edgar/data/2132873/000119312526419170/d122415dex991.htm</x:v>
      </x:c>
      <x:c r="I61" s="203" t="str">
        <x:v>Reported</x:v>
      </x:c>
    </x:row>
    <x:row r="62">
      <x:c r="A62" s="203" t="str">
        <x:v>Reported Rangers carve-out</x:v>
      </x:c>
      <x:c r="B62" s="203" t="str">
        <x:v>Media-rights revenue</x:v>
      </x:c>
      <x:c r="C62" s="203" t="str">
        <x:v>FY2024</x:v>
      </x:c>
      <x:c r="D62" s="204" t="n">
        <x:v>65.735</x:v>
      </x:c>
      <x:c r="E62" s="203" t="str">
        <x:v>$mm</x:v>
      </x:c>
      <x:c r="F62" s="203" t="str">
        <x:v>Rangers Form 10 information statement</x:v>
      </x:c>
      <x:c r="G62" s="203" t="str">
        <x:v>Combined financial statements / revenue disaggregation</x:v>
      </x:c>
      <x:c r="H62" s="203" t="str">
        <x:v>https://www.sec.gov/Archives/edgar/data/2132873/000119312526419170/d122415dex991.htm</x:v>
      </x:c>
      <x:c r="I62" s="203" t="str">
        <x:v>Reported</x:v>
      </x:c>
    </x:row>
    <x:row r="63">
      <x:c r="A63" s="203" t="str">
        <x:v>Reported Rangers carve-out</x:v>
      </x:c>
      <x:c r="B63" s="203" t="str">
        <x:v>Media-rights revenue</x:v>
      </x:c>
      <x:c r="C63" s="203" t="str">
        <x:v>FY2025</x:v>
      </x:c>
      <x:c r="D63" s="204" t="n">
        <x:v>64.39</x:v>
      </x:c>
      <x:c r="E63" s="203" t="str">
        <x:v>$mm</x:v>
      </x:c>
      <x:c r="F63" s="203" t="str">
        <x:v>Rangers Form 10 information statement</x:v>
      </x:c>
      <x:c r="G63" s="203" t="str">
        <x:v>Combined financial statements / revenue disaggregation</x:v>
      </x:c>
      <x:c r="H63" s="203" t="str">
        <x:v>https://www.sec.gov/Archives/edgar/data/2132873/000119312526419170/d122415dex991.htm</x:v>
      </x:c>
      <x:c r="I63" s="203" t="str">
        <x:v>Reported</x:v>
      </x:c>
    </x:row>
    <x:row r="64">
      <x:c r="A64" s="203" t="str">
        <x:v>Reported Rangers carve-out</x:v>
      </x:c>
      <x:c r="B64" s="203" t="str">
        <x:v>Media-rights revenue</x:v>
      </x:c>
      <x:c r="C64" s="203" t="str">
        <x:v>FY2026</x:v>
      </x:c>
      <x:c r="D64" s="204" t="n">
        <x:v>61.725</x:v>
      </x:c>
      <x:c r="E64" s="203" t="str">
        <x:v>$mm</x:v>
      </x:c>
      <x:c r="F64" s="203" t="str">
        <x:v>Rangers Form 10 information statement</x:v>
      </x:c>
      <x:c r="G64" s="203" t="str">
        <x:v>Combined financial statements / revenue disaggregation</x:v>
      </x:c>
      <x:c r="H64" s="203" t="str">
        <x:v>https://www.sec.gov/Archives/edgar/data/2132873/000119312526419170/d122415dex991.htm</x:v>
      </x:c>
      <x:c r="I64" s="203" t="str">
        <x:v>Reported</x:v>
      </x:c>
    </x:row>
    <x:row r="65">
      <x:c r="A65" s="203" t="str">
        <x:v>Reported Rangers carve-out</x:v>
      </x:c>
      <x:c r="B65" s="203" t="str">
        <x:v>Sponsorship / signage / suites</x:v>
      </x:c>
      <x:c r="C65" s="203" t="str">
        <x:v>FY2024</x:v>
      </x:c>
      <x:c r="D65" s="204" t="n">
        <x:v>99.416</x:v>
      </x:c>
      <x:c r="E65" s="203" t="str">
        <x:v>$mm</x:v>
      </x:c>
      <x:c r="F65" s="203" t="str">
        <x:v>Rangers Form 10 information statement</x:v>
      </x:c>
      <x:c r="G65" s="203" t="str">
        <x:v>Combined financial statements / revenue disaggregation</x:v>
      </x:c>
      <x:c r="H65" s="203" t="str">
        <x:v>https://www.sec.gov/Archives/edgar/data/2132873/000119312526419170/d122415dex991.htm</x:v>
      </x:c>
      <x:c r="I65" s="203" t="str">
        <x:v>Reported</x:v>
      </x:c>
    </x:row>
    <x:row r="66">
      <x:c r="A66" s="203" t="str">
        <x:v>Reported Rangers carve-out</x:v>
      </x:c>
      <x:c r="B66" s="203" t="str">
        <x:v>Sponsorship / signage / suites</x:v>
      </x:c>
      <x:c r="C66" s="203" t="str">
        <x:v>FY2025</x:v>
      </x:c>
      <x:c r="D66" s="204" t="n">
        <x:v>101.166</x:v>
      </x:c>
      <x:c r="E66" s="203" t="str">
        <x:v>$mm</x:v>
      </x:c>
      <x:c r="F66" s="203" t="str">
        <x:v>Rangers Form 10 information statement</x:v>
      </x:c>
      <x:c r="G66" s="203" t="str">
        <x:v>Combined financial statements / revenue disaggregation</x:v>
      </x:c>
      <x:c r="H66" s="203" t="str">
        <x:v>https://www.sec.gov/Archives/edgar/data/2132873/000119312526419170/d122415dex991.htm</x:v>
      </x:c>
      <x:c r="I66" s="203" t="str">
        <x:v>Reported</x:v>
      </x:c>
    </x:row>
    <x:row r="67">
      <x:c r="A67" s="203" t="str">
        <x:v>Reported Rangers carve-out</x:v>
      </x:c>
      <x:c r="B67" s="203" t="str">
        <x:v>Sponsorship / signage / suites</x:v>
      </x:c>
      <x:c r="C67" s="203" t="str">
        <x:v>FY2026</x:v>
      </x:c>
      <x:c r="D67" s="204" t="n">
        <x:v>111.21</x:v>
      </x:c>
      <x:c r="E67" s="203" t="str">
        <x:v>$mm</x:v>
      </x:c>
      <x:c r="F67" s="203" t="str">
        <x:v>Rangers Form 10 information statement</x:v>
      </x:c>
      <x:c r="G67" s="203" t="str">
        <x:v>Combined financial statements / revenue disaggregation</x:v>
      </x:c>
      <x:c r="H67" s="203" t="str">
        <x:v>https://www.sec.gov/Archives/edgar/data/2132873/000119312526419170/d122415dex991.htm</x:v>
      </x:c>
      <x:c r="I67" s="203" t="str">
        <x:v>Reported</x:v>
      </x:c>
    </x:row>
    <x:row r="68">
      <x:c r="A68" s="203" t="str">
        <x:v>Reported Rangers carve-out</x:v>
      </x:c>
      <x:c r="B68" s="203" t="str">
        <x:v>League distributions / other</x:v>
      </x:c>
      <x:c r="C68" s="203" t="str">
        <x:v>FY2024</x:v>
      </x:c>
      <x:c r="D68" s="204" t="n">
        <x:v>25.592</x:v>
      </x:c>
      <x:c r="E68" s="203" t="str">
        <x:v>$mm</x:v>
      </x:c>
      <x:c r="F68" s="203" t="str">
        <x:v>Rangers Form 10 information statement</x:v>
      </x:c>
      <x:c r="G68" s="203" t="str">
        <x:v>Combined financial statements / revenue disaggregation</x:v>
      </x:c>
      <x:c r="H68" s="203" t="str">
        <x:v>https://www.sec.gov/Archives/edgar/data/2132873/000119312526419170/d122415dex991.htm</x:v>
      </x:c>
      <x:c r="I68" s="203" t="str">
        <x:v>Reported</x:v>
      </x:c>
    </x:row>
    <x:row r="69">
      <x:c r="A69" s="203" t="str">
        <x:v>Reported Rangers carve-out</x:v>
      </x:c>
      <x:c r="B69" s="203" t="str">
        <x:v>League distributions / other</x:v>
      </x:c>
      <x:c r="C69" s="203" t="str">
        <x:v>FY2025</x:v>
      </x:c>
      <x:c r="D69" s="204" t="n">
        <x:v>15.816</x:v>
      </x:c>
      <x:c r="E69" s="203" t="str">
        <x:v>$mm</x:v>
      </x:c>
      <x:c r="F69" s="203" t="str">
        <x:v>Rangers Form 10 information statement</x:v>
      </x:c>
      <x:c r="G69" s="203" t="str">
        <x:v>Combined financial statements / revenue disaggregation</x:v>
      </x:c>
      <x:c r="H69" s="203" t="str">
        <x:v>https://www.sec.gov/Archives/edgar/data/2132873/000119312526419170/d122415dex991.htm</x:v>
      </x:c>
      <x:c r="I69" s="203" t="str">
        <x:v>Reported</x:v>
      </x:c>
    </x:row>
    <x:row r="70">
      <x:c r="A70" s="203" t="str">
        <x:v>Reported Rangers carve-out</x:v>
      </x:c>
      <x:c r="B70" s="203" t="str">
        <x:v>League distributions / other</x:v>
      </x:c>
      <x:c r="C70" s="203" t="str">
        <x:v>FY2026</x:v>
      </x:c>
      <x:c r="D70" s="204" t="n">
        <x:v>18.221</x:v>
      </x:c>
      <x:c r="E70" s="203" t="str">
        <x:v>$mm</x:v>
      </x:c>
      <x:c r="F70" s="203" t="str">
        <x:v>Rangers Form 10 information statement</x:v>
      </x:c>
      <x:c r="G70" s="203" t="str">
        <x:v>Combined financial statements / revenue disaggregation</x:v>
      </x:c>
      <x:c r="H70" s="203" t="str">
        <x:v>https://www.sec.gov/Archives/edgar/data/2132873/000119312526419170/d122415dex991.htm</x:v>
      </x:c>
      <x:c r="I70" s="203" t="str">
        <x:v>Reported</x:v>
      </x:c>
    </x:row>
    <x:row r="71">
      <x:c r="A71" s="203" t="str">
        <x:v>Reported Rangers carve-out</x:v>
      </x:c>
      <x:c r="B71" s="203" t="str">
        <x:v>Total revenue</x:v>
      </x:c>
      <x:c r="C71" s="203" t="str">
        <x:v>FY2024</x:v>
      </x:c>
      <x:c r="D71" s="204" t="n">
        <x:v>401.532</x:v>
      </x:c>
      <x:c r="E71" s="203" t="str">
        <x:v>$mm</x:v>
      </x:c>
      <x:c r="F71" s="203" t="str">
        <x:v>Rangers Form 10 information statement</x:v>
      </x:c>
      <x:c r="G71" s="203" t="str">
        <x:v>Combined financial statements / revenue disaggregation</x:v>
      </x:c>
      <x:c r="H71" s="203" t="str">
        <x:v>https://www.sec.gov/Archives/edgar/data/2132873/000119312526419170/d122415dex991.htm</x:v>
      </x:c>
      <x:c r="I71" s="203" t="str">
        <x:v>Reported</x:v>
      </x:c>
    </x:row>
    <x:row r="72">
      <x:c r="A72" s="203" t="str">
        <x:v>Reported Rangers carve-out</x:v>
      </x:c>
      <x:c r="B72" s="203" t="str">
        <x:v>Total revenue</x:v>
      </x:c>
      <x:c r="C72" s="203" t="str">
        <x:v>FY2025</x:v>
      </x:c>
      <x:c r="D72" s="204" t="n">
        <x:v>332.017</x:v>
      </x:c>
      <x:c r="E72" s="203" t="str">
        <x:v>$mm</x:v>
      </x:c>
      <x:c r="F72" s="203" t="str">
        <x:v>Rangers Form 10 information statement</x:v>
      </x:c>
      <x:c r="G72" s="203" t="str">
        <x:v>Combined financial statements / revenue disaggregation</x:v>
      </x:c>
      <x:c r="H72" s="203" t="str">
        <x:v>https://www.sec.gov/Archives/edgar/data/2132873/000119312526419170/d122415dex991.htm</x:v>
      </x:c>
      <x:c r="I72" s="203" t="str">
        <x:v>Reported</x:v>
      </x:c>
    </x:row>
    <x:row r="73">
      <x:c r="A73" s="203" t="str">
        <x:v>Reported Rangers carve-out</x:v>
      </x:c>
      <x:c r="B73" s="203" t="str">
        <x:v>Total revenue</x:v>
      </x:c>
      <x:c r="C73" s="203" t="str">
        <x:v>FY2026</x:v>
      </x:c>
      <x:c r="D73" s="204" t="n">
        <x:v>337.27</x:v>
      </x:c>
      <x:c r="E73" s="203" t="str">
        <x:v>$mm</x:v>
      </x:c>
      <x:c r="F73" s="203" t="str">
        <x:v>Rangers Form 10 information statement</x:v>
      </x:c>
      <x:c r="G73" s="203" t="str">
        <x:v>Combined financial statements / revenue disaggregation</x:v>
      </x:c>
      <x:c r="H73" s="203" t="str">
        <x:v>https://www.sec.gov/Archives/edgar/data/2132873/000119312526419170/d122415dex991.htm</x:v>
      </x:c>
      <x:c r="I73" s="203" t="str">
        <x:v>Reported</x:v>
      </x:c>
    </x:row>
    <x:row r="74">
      <x:c r="A74" s="203" t="str">
        <x:v>Reported Rangers carve-out</x:v>
      </x:c>
      <x:c r="B74" s="203" t="str">
        <x:v>Direct operating expense</x:v>
      </x:c>
      <x:c r="C74" s="203" t="str">
        <x:v>FY2024</x:v>
      </x:c>
      <x:c r="D74" s="204" t="n">
        <x:v>268.044</x:v>
      </x:c>
      <x:c r="E74" s="203" t="str">
        <x:v>$mm</x:v>
      </x:c>
      <x:c r="F74" s="203" t="str">
        <x:v>Rangers Form 10 information statement</x:v>
      </x:c>
      <x:c r="G74" s="203" t="str">
        <x:v>Combined financial statements / revenue disaggregation</x:v>
      </x:c>
      <x:c r="H74" s="203" t="str">
        <x:v>https://www.sec.gov/Archives/edgar/data/2132873/000119312526419170/d122415dex991.htm</x:v>
      </x:c>
      <x:c r="I74" s="203" t="str">
        <x:v>Reported</x:v>
      </x:c>
    </x:row>
    <x:row r="75">
      <x:c r="A75" s="203" t="str">
        <x:v>Reported Rangers carve-out</x:v>
      </x:c>
      <x:c r="B75" s="203" t="str">
        <x:v>Direct operating expense</x:v>
      </x:c>
      <x:c r="C75" s="203" t="str">
        <x:v>FY2025</x:v>
      </x:c>
      <x:c r="D75" s="204" t="n">
        <x:v>256.473</x:v>
      </x:c>
      <x:c r="E75" s="203" t="str">
        <x:v>$mm</x:v>
      </x:c>
      <x:c r="F75" s="203" t="str">
        <x:v>Rangers Form 10 information statement</x:v>
      </x:c>
      <x:c r="G75" s="203" t="str">
        <x:v>Combined financial statements / revenue disaggregation</x:v>
      </x:c>
      <x:c r="H75" s="203" t="str">
        <x:v>https://www.sec.gov/Archives/edgar/data/2132873/000119312526419170/d122415dex991.htm</x:v>
      </x:c>
      <x:c r="I75" s="203" t="str">
        <x:v>Reported</x:v>
      </x:c>
    </x:row>
    <x:row r="76">
      <x:c r="A76" s="203" t="str">
        <x:v>Reported Rangers carve-out</x:v>
      </x:c>
      <x:c r="B76" s="203" t="str">
        <x:v>Direct operating expense</x:v>
      </x:c>
      <x:c r="C76" s="203" t="str">
        <x:v>FY2026</x:v>
      </x:c>
      <x:c r="D76" s="204" t="n">
        <x:v>262.605</x:v>
      </x:c>
      <x:c r="E76" s="203" t="str">
        <x:v>$mm</x:v>
      </x:c>
      <x:c r="F76" s="203" t="str">
        <x:v>Rangers Form 10 information statement</x:v>
      </x:c>
      <x:c r="G76" s="203" t="str">
        <x:v>Combined financial statements / revenue disaggregation</x:v>
      </x:c>
      <x:c r="H76" s="203" t="str">
        <x:v>https://www.sec.gov/Archives/edgar/data/2132873/000119312526419170/d122415dex991.htm</x:v>
      </x:c>
      <x:c r="I76" s="203" t="str">
        <x:v>Reported</x:v>
      </x:c>
    </x:row>
    <x:row r="77">
      <x:c r="A77" s="203" t="str">
        <x:v>Reported Rangers carve-out</x:v>
      </x:c>
      <x:c r="B77" s="203" t="str">
        <x:v>SG&amp;A</x:v>
      </x:c>
      <x:c r="C77" s="203" t="str">
        <x:v>FY2024</x:v>
      </x:c>
      <x:c r="D77" s="204" t="n">
        <x:v>104.141</x:v>
      </x:c>
      <x:c r="E77" s="203" t="str">
        <x:v>$mm</x:v>
      </x:c>
      <x:c r="F77" s="203" t="str">
        <x:v>Rangers Form 10 information statement</x:v>
      </x:c>
      <x:c r="G77" s="203" t="str">
        <x:v>Combined financial statements / revenue disaggregation</x:v>
      </x:c>
      <x:c r="H77" s="203" t="str">
        <x:v>https://www.sec.gov/Archives/edgar/data/2132873/000119312526419170/d122415dex991.htm</x:v>
      </x:c>
      <x:c r="I77" s="203" t="str">
        <x:v>Reported</x:v>
      </x:c>
    </x:row>
    <x:row r="78">
      <x:c r="A78" s="203" t="str">
        <x:v>Reported Rangers carve-out</x:v>
      </x:c>
      <x:c r="B78" s="203" t="str">
        <x:v>SG&amp;A</x:v>
      </x:c>
      <x:c r="C78" s="203" t="str">
        <x:v>FY2025</x:v>
      </x:c>
      <x:c r="D78" s="204" t="n">
        <x:v>96.342</x:v>
      </x:c>
      <x:c r="E78" s="203" t="str">
        <x:v>$mm</x:v>
      </x:c>
      <x:c r="F78" s="203" t="str">
        <x:v>Rangers Form 10 information statement</x:v>
      </x:c>
      <x:c r="G78" s="203" t="str">
        <x:v>Combined financial statements / revenue disaggregation</x:v>
      </x:c>
      <x:c r="H78" s="203" t="str">
        <x:v>https://www.sec.gov/Archives/edgar/data/2132873/000119312526419170/d122415dex991.htm</x:v>
      </x:c>
      <x:c r="I78" s="203" t="str">
        <x:v>Reported</x:v>
      </x:c>
    </x:row>
    <x:row r="79">
      <x:c r="A79" s="203" t="str">
        <x:v>Reported Rangers carve-out</x:v>
      </x:c>
      <x:c r="B79" s="203" t="str">
        <x:v>SG&amp;A</x:v>
      </x:c>
      <x:c r="C79" s="203" t="str">
        <x:v>FY2026</x:v>
      </x:c>
      <x:c r="D79" s="204" t="n">
        <x:v>101.557</x:v>
      </x:c>
      <x:c r="E79" s="203" t="str">
        <x:v>$mm</x:v>
      </x:c>
      <x:c r="F79" s="203" t="str">
        <x:v>Rangers Form 10 information statement</x:v>
      </x:c>
      <x:c r="G79" s="203" t="str">
        <x:v>Combined financial statements / revenue disaggregation</x:v>
      </x:c>
      <x:c r="H79" s="203" t="str">
        <x:v>https://www.sec.gov/Archives/edgar/data/2132873/000119312526419170/d122415dex991.htm</x:v>
      </x:c>
      <x:c r="I79" s="203" t="str">
        <x:v>Reported</x:v>
      </x:c>
    </x:row>
    <x:row r="80">
      <x:c r="A80" s="203" t="str">
        <x:v>Reported Rangers carve-out</x:v>
      </x:c>
      <x:c r="B80" s="203" t="str">
        <x:v>D&amp;A</x:v>
      </x:c>
      <x:c r="C80" s="203" t="str">
        <x:v>FY2024</x:v>
      </x:c>
      <x:c r="D80" s="204" t="n">
        <x:v>2.514</x:v>
      </x:c>
      <x:c r="E80" s="203" t="str">
        <x:v>$mm</x:v>
      </x:c>
      <x:c r="F80" s="203" t="str">
        <x:v>Rangers Form 10 information statement</x:v>
      </x:c>
      <x:c r="G80" s="203" t="str">
        <x:v>Combined financial statements / revenue disaggregation</x:v>
      </x:c>
      <x:c r="H80" s="203" t="str">
        <x:v>https://www.sec.gov/Archives/edgar/data/2132873/000119312526419170/d122415dex991.htm</x:v>
      </x:c>
      <x:c r="I80" s="203" t="str">
        <x:v>Reported</x:v>
      </x:c>
    </x:row>
    <x:row r="81">
      <x:c r="A81" s="203" t="str">
        <x:v>Reported Rangers carve-out</x:v>
      </x:c>
      <x:c r="B81" s="203" t="str">
        <x:v>D&amp;A</x:v>
      </x:c>
      <x:c r="C81" s="203" t="str">
        <x:v>FY2025</x:v>
      </x:c>
      <x:c r="D81" s="204" t="n">
        <x:v>2.461</x:v>
      </x:c>
      <x:c r="E81" s="203" t="str">
        <x:v>$mm</x:v>
      </x:c>
      <x:c r="F81" s="203" t="str">
        <x:v>Rangers Form 10 information statement</x:v>
      </x:c>
      <x:c r="G81" s="203" t="str">
        <x:v>Combined financial statements / revenue disaggregation</x:v>
      </x:c>
      <x:c r="H81" s="203" t="str">
        <x:v>https://www.sec.gov/Archives/edgar/data/2132873/000119312526419170/d122415dex991.htm</x:v>
      </x:c>
      <x:c r="I81" s="203" t="str">
        <x:v>Reported</x:v>
      </x:c>
    </x:row>
    <x:row r="82">
      <x:c r="A82" s="203" t="str">
        <x:v>Reported Rangers carve-out</x:v>
      </x:c>
      <x:c r="B82" s="203" t="str">
        <x:v>D&amp;A</x:v>
      </x:c>
      <x:c r="C82" s="203" t="str">
        <x:v>FY2026</x:v>
      </x:c>
      <x:c r="D82" s="204" t="n">
        <x:v>2.348</x:v>
      </x:c>
      <x:c r="E82" s="203" t="str">
        <x:v>$mm</x:v>
      </x:c>
      <x:c r="F82" s="203" t="str">
        <x:v>Rangers Form 10 information statement</x:v>
      </x:c>
      <x:c r="G82" s="203" t="str">
        <x:v>Combined financial statements / revenue disaggregation</x:v>
      </x:c>
      <x:c r="H82" s="203" t="str">
        <x:v>https://www.sec.gov/Archives/edgar/data/2132873/000119312526419170/d122415dex991.htm</x:v>
      </x:c>
      <x:c r="I82" s="203" t="str">
        <x:v>Reported</x:v>
      </x:c>
    </x:row>
    <x:row r="83">
      <x:c r="A83" s="203" t="str">
        <x:v>Reported Rangers carve-out</x:v>
      </x:c>
      <x:c r="B83" s="203" t="str">
        <x:v>Restructuring</x:v>
      </x:c>
      <x:c r="C83" s="203" t="str">
        <x:v>FY2024</x:v>
      </x:c>
      <x:c r="D83" s="204" t="n">
        <x:v>0</x:v>
      </x:c>
      <x:c r="E83" s="203" t="str">
        <x:v>$mm</x:v>
      </x:c>
      <x:c r="F83" s="203" t="str">
        <x:v>Rangers Form 10 information statement</x:v>
      </x:c>
      <x:c r="G83" s="203" t="str">
        <x:v>Combined financial statements / revenue disaggregation</x:v>
      </x:c>
      <x:c r="H83" s="203" t="str">
        <x:v>https://www.sec.gov/Archives/edgar/data/2132873/000119312526419170/d122415dex991.htm</x:v>
      </x:c>
      <x:c r="I83" s="203" t="str">
        <x:v>Reported</x:v>
      </x:c>
    </x:row>
    <x:row r="84">
      <x:c r="A84" s="203" t="str">
        <x:v>Reported Rangers carve-out</x:v>
      </x:c>
      <x:c r="B84" s="203" t="str">
        <x:v>Restructuring</x:v>
      </x:c>
      <x:c r="C84" s="203" t="str">
        <x:v>FY2025</x:v>
      </x:c>
      <x:c r="D84" s="204" t="n">
        <x:v>0</x:v>
      </x:c>
      <x:c r="E84" s="203" t="str">
        <x:v>$mm</x:v>
      </x:c>
      <x:c r="F84" s="203" t="str">
        <x:v>Rangers Form 10 information statement</x:v>
      </x:c>
      <x:c r="G84" s="203" t="str">
        <x:v>Combined financial statements / revenue disaggregation</x:v>
      </x:c>
      <x:c r="H84" s="203" t="str">
        <x:v>https://www.sec.gov/Archives/edgar/data/2132873/000119312526419170/d122415dex991.htm</x:v>
      </x:c>
      <x:c r="I84" s="203" t="str">
        <x:v>Reported</x:v>
      </x:c>
    </x:row>
    <x:row r="85">
      <x:c r="A85" s="203" t="str">
        <x:v>Reported Rangers carve-out</x:v>
      </x:c>
      <x:c r="B85" s="203" t="str">
        <x:v>Restructuring</x:v>
      </x:c>
      <x:c r="C85" s="203" t="str">
        <x:v>FY2026</x:v>
      </x:c>
      <x:c r="D85" s="204" t="n">
        <x:v>1.234</x:v>
      </x:c>
      <x:c r="E85" s="203" t="str">
        <x:v>$mm</x:v>
      </x:c>
      <x:c r="F85" s="203" t="str">
        <x:v>Rangers Form 10 information statement</x:v>
      </x:c>
      <x:c r="G85" s="203" t="str">
        <x:v>Combined financial statements / revenue disaggregation</x:v>
      </x:c>
      <x:c r="H85" s="203" t="str">
        <x:v>https://www.sec.gov/Archives/edgar/data/2132873/000119312526419170/d122415dex991.htm</x:v>
      </x:c>
      <x:c r="I85" s="203" t="str">
        <x:v>Reported</x:v>
      </x:c>
    </x:row>
    <x:row r="86">
      <x:c r="A86" s="203" t="str">
        <x:v>Reported Rangers carve-out</x:v>
      </x:c>
      <x:c r="B86" s="203" t="str">
        <x:v>Operating income</x:v>
      </x:c>
      <x:c r="C86" s="203" t="str">
        <x:v>FY2024</x:v>
      </x:c>
      <x:c r="D86" s="204" t="n">
        <x:v>26.833</x:v>
      </x:c>
      <x:c r="E86" s="203" t="str">
        <x:v>$mm</x:v>
      </x:c>
      <x:c r="F86" s="203" t="str">
        <x:v>Rangers Form 10 information statement</x:v>
      </x:c>
      <x:c r="G86" s="203" t="str">
        <x:v>Combined financial statements / revenue disaggregation</x:v>
      </x:c>
      <x:c r="H86" s="203" t="str">
        <x:v>https://www.sec.gov/Archives/edgar/data/2132873/000119312526419170/d122415dex991.htm</x:v>
      </x:c>
      <x:c r="I86" s="203" t="str">
        <x:v>Reported</x:v>
      </x:c>
    </x:row>
    <x:row r="87">
      <x:c r="A87" s="203" t="str">
        <x:v>Reported Rangers carve-out</x:v>
      </x:c>
      <x:c r="B87" s="203" t="str">
        <x:v>Operating income</x:v>
      </x:c>
      <x:c r="C87" s="203" t="str">
        <x:v>FY2025</x:v>
      </x:c>
      <x:c r="D87" s="204" t="n">
        <x:v>-23.259</x:v>
      </x:c>
      <x:c r="E87" s="203" t="str">
        <x:v>$mm</x:v>
      </x:c>
      <x:c r="F87" s="203" t="str">
        <x:v>Rangers Form 10 information statement</x:v>
      </x:c>
      <x:c r="G87" s="203" t="str">
        <x:v>Combined financial statements / revenue disaggregation</x:v>
      </x:c>
      <x:c r="H87" s="203" t="str">
        <x:v>https://www.sec.gov/Archives/edgar/data/2132873/000119312526419170/d122415dex991.htm</x:v>
      </x:c>
      <x:c r="I87" s="203" t="str">
        <x:v>Reported</x:v>
      </x:c>
    </x:row>
    <x:row r="88">
      <x:c r="A88" s="203" t="str">
        <x:v>Reported Rangers carve-out</x:v>
      </x:c>
      <x:c r="B88" s="203" t="str">
        <x:v>Operating income</x:v>
      </x:c>
      <x:c r="C88" s="203" t="str">
        <x:v>FY2026</x:v>
      </x:c>
      <x:c r="D88" s="204" t="n">
        <x:v>-30.474</x:v>
      </x:c>
      <x:c r="E88" s="203" t="str">
        <x:v>$mm</x:v>
      </x:c>
      <x:c r="F88" s="203" t="str">
        <x:v>Rangers Form 10 information statement</x:v>
      </x:c>
      <x:c r="G88" s="203" t="str">
        <x:v>Combined financial statements / revenue disaggregation</x:v>
      </x:c>
      <x:c r="H88" s="203" t="str">
        <x:v>https://www.sec.gov/Archives/edgar/data/2132873/000119312526419170/d122415dex991.htm</x:v>
      </x:c>
      <x:c r="I88" s="203" t="str">
        <x:v>Reported</x:v>
      </x:c>
    </x:row>
    <x:row r="89">
      <x:c r="A89" s="203" t="str">
        <x:v>Reported Rangers carve-out</x:v>
      </x:c>
      <x:c r="B89" s="203" t="str">
        <x:v>Interest income</x:v>
      </x:c>
      <x:c r="C89" s="203" t="str">
        <x:v>FY2024</x:v>
      </x:c>
      <x:c r="D89" s="204" t="n">
        <x:v>0.086</x:v>
      </x:c>
      <x:c r="E89" s="203" t="str">
        <x:v>$mm</x:v>
      </x:c>
      <x:c r="F89" s="203" t="str">
        <x:v>Rangers Form 10 information statement</x:v>
      </x:c>
      <x:c r="G89" s="203" t="str">
        <x:v>Combined financial statements / revenue disaggregation</x:v>
      </x:c>
      <x:c r="H89" s="203" t="str">
        <x:v>https://www.sec.gov/Archives/edgar/data/2132873/000119312526419170/d122415dex991.htm</x:v>
      </x:c>
      <x:c r="I89" s="203" t="str">
        <x:v>Reported</x:v>
      </x:c>
    </x:row>
    <x:row r="90">
      <x:c r="A90" s="203" t="str">
        <x:v>Reported Rangers carve-out</x:v>
      </x:c>
      <x:c r="B90" s="203" t="str">
        <x:v>Interest income</x:v>
      </x:c>
      <x:c r="C90" s="203" t="str">
        <x:v>FY2025</x:v>
      </x:c>
      <x:c r="D90" s="204" t="n">
        <x:v>0.063</x:v>
      </x:c>
      <x:c r="E90" s="203" t="str">
        <x:v>$mm</x:v>
      </x:c>
      <x:c r="F90" s="203" t="str">
        <x:v>Rangers Form 10 information statement</x:v>
      </x:c>
      <x:c r="G90" s="203" t="str">
        <x:v>Combined financial statements / revenue disaggregation</x:v>
      </x:c>
      <x:c r="H90" s="203" t="str">
        <x:v>https://www.sec.gov/Archives/edgar/data/2132873/000119312526419170/d122415dex991.htm</x:v>
      </x:c>
      <x:c r="I90" s="203" t="str">
        <x:v>Reported</x:v>
      </x:c>
    </x:row>
    <x:row r="91">
      <x:c r="A91" s="203" t="str">
        <x:v>Reported Rangers carve-out</x:v>
      </x:c>
      <x:c r="B91" s="203" t="str">
        <x:v>Interest income</x:v>
      </x:c>
      <x:c r="C91" s="203" t="str">
        <x:v>FY2026</x:v>
      </x:c>
      <x:c r="D91" s="204" t="n">
        <x:v>0.037</x:v>
      </x:c>
      <x:c r="E91" s="203" t="str">
        <x:v>$mm</x:v>
      </x:c>
      <x:c r="F91" s="203" t="str">
        <x:v>Rangers Form 10 information statement</x:v>
      </x:c>
      <x:c r="G91" s="203" t="str">
        <x:v>Combined financial statements / revenue disaggregation</x:v>
      </x:c>
      <x:c r="H91" s="203" t="str">
        <x:v>https://www.sec.gov/Archives/edgar/data/2132873/000119312526419170/d122415dex991.htm</x:v>
      </x:c>
      <x:c r="I91" s="203" t="str">
        <x:v>Reported</x:v>
      </x:c>
    </x:row>
    <x:row r="92">
      <x:c r="A92" s="203" t="str">
        <x:v>Reported Rangers carve-out</x:v>
      </x:c>
      <x:c r="B92" s="203" t="str">
        <x:v>Interest expense</x:v>
      </x:c>
      <x:c r="C92" s="203" t="str">
        <x:v>FY2024</x:v>
      </x:c>
      <x:c r="D92" s="204" t="n">
        <x:v>-8.268</x:v>
      </x:c>
      <x:c r="E92" s="203" t="str">
        <x:v>$mm</x:v>
      </x:c>
      <x:c r="F92" s="203" t="str">
        <x:v>Rangers Form 10 information statement</x:v>
      </x:c>
      <x:c r="G92" s="203" t="str">
        <x:v>Combined financial statements / revenue disaggregation</x:v>
      </x:c>
      <x:c r="H92" s="203" t="str">
        <x:v>https://www.sec.gov/Archives/edgar/data/2132873/000119312526419170/d122415dex991.htm</x:v>
      </x:c>
      <x:c r="I92" s="203" t="str">
        <x:v>Reported</x:v>
      </x:c>
    </x:row>
    <x:row r="93">
      <x:c r="A93" s="203" t="str">
        <x:v>Reported Rangers carve-out</x:v>
      </x:c>
      <x:c r="B93" s="203" t="str">
        <x:v>Interest expense</x:v>
      </x:c>
      <x:c r="C93" s="203" t="str">
        <x:v>FY2025</x:v>
      </x:c>
      <x:c r="D93" s="204" t="n">
        <x:v>-4.065</x:v>
      </x:c>
      <x:c r="E93" s="203" t="str">
        <x:v>$mm</x:v>
      </x:c>
      <x:c r="F93" s="203" t="str">
        <x:v>Rangers Form 10 information statement</x:v>
      </x:c>
      <x:c r="G93" s="203" t="str">
        <x:v>Combined financial statements / revenue disaggregation</x:v>
      </x:c>
      <x:c r="H93" s="203" t="str">
        <x:v>https://www.sec.gov/Archives/edgar/data/2132873/000119312526419170/d122415dex991.htm</x:v>
      </x:c>
      <x:c r="I93" s="203" t="str">
        <x:v>Reported</x:v>
      </x:c>
    </x:row>
    <x:row r="94">
      <x:c r="A94" s="203" t="str">
        <x:v>Reported Rangers carve-out</x:v>
      </x:c>
      <x:c r="B94" s="203" t="str">
        <x:v>Interest expense</x:v>
      </x:c>
      <x:c r="C94" s="203" t="str">
        <x:v>FY2026</x:v>
      </x:c>
      <x:c r="D94" s="204" t="n">
        <x:v>-3.63</x:v>
      </x:c>
      <x:c r="E94" s="203" t="str">
        <x:v>$mm</x:v>
      </x:c>
      <x:c r="F94" s="203" t="str">
        <x:v>Rangers Form 10 information statement</x:v>
      </x:c>
      <x:c r="G94" s="203" t="str">
        <x:v>Combined financial statements / revenue disaggregation</x:v>
      </x:c>
      <x:c r="H94" s="203" t="str">
        <x:v>https://www.sec.gov/Archives/edgar/data/2132873/000119312526419170/d122415dex991.htm</x:v>
      </x:c>
      <x:c r="I94" s="203" t="str">
        <x:v>Reported</x:v>
      </x:c>
    </x:row>
    <x:row r="95">
      <x:c r="A95" s="203" t="str">
        <x:v>Reported Rangers carve-out</x:v>
      </x:c>
      <x:c r="B95" s="203" t="str">
        <x:v>Miscellaneous</x:v>
      </x:c>
      <x:c r="C95" s="203" t="str">
        <x:v>FY2024</x:v>
      </x:c>
      <x:c r="D95" s="204" t="n">
        <x:v>-0.187</x:v>
      </x:c>
      <x:c r="E95" s="203" t="str">
        <x:v>$mm</x:v>
      </x:c>
      <x:c r="F95" s="203" t="str">
        <x:v>Rangers Form 10 information statement</x:v>
      </x:c>
      <x:c r="G95" s="203" t="str">
        <x:v>Combined financial statements / revenue disaggregation</x:v>
      </x:c>
      <x:c r="H95" s="203" t="str">
        <x:v>https://www.sec.gov/Archives/edgar/data/2132873/000119312526419170/d122415dex991.htm</x:v>
      </x:c>
      <x:c r="I95" s="203" t="str">
        <x:v>Reported</x:v>
      </x:c>
    </x:row>
    <x:row r="96">
      <x:c r="A96" s="203" t="str">
        <x:v>Reported Rangers carve-out</x:v>
      </x:c>
      <x:c r="B96" s="203" t="str">
        <x:v>Miscellaneous</x:v>
      </x:c>
      <x:c r="C96" s="203" t="str">
        <x:v>FY2025</x:v>
      </x:c>
      <x:c r="D96" s="204" t="n">
        <x:v>-0.585</x:v>
      </x:c>
      <x:c r="E96" s="203" t="str">
        <x:v>$mm</x:v>
      </x:c>
      <x:c r="F96" s="203" t="str">
        <x:v>Rangers Form 10 information statement</x:v>
      </x:c>
      <x:c r="G96" s="203" t="str">
        <x:v>Combined financial statements / revenue disaggregation</x:v>
      </x:c>
      <x:c r="H96" s="203" t="str">
        <x:v>https://www.sec.gov/Archives/edgar/data/2132873/000119312526419170/d122415dex991.htm</x:v>
      </x:c>
      <x:c r="I96" s="203" t="str">
        <x:v>Reported</x:v>
      </x:c>
    </x:row>
    <x:row r="97">
      <x:c r="A97" s="203" t="str">
        <x:v>Reported Rangers carve-out</x:v>
      </x:c>
      <x:c r="B97" s="203" t="str">
        <x:v>Miscellaneous</x:v>
      </x:c>
      <x:c r="C97" s="203" t="str">
        <x:v>FY2026</x:v>
      </x:c>
      <x:c r="D97" s="204" t="n">
        <x:v>-0.083</x:v>
      </x:c>
      <x:c r="E97" s="203" t="str">
        <x:v>$mm</x:v>
      </x:c>
      <x:c r="F97" s="203" t="str">
        <x:v>Rangers Form 10 information statement</x:v>
      </x:c>
      <x:c r="G97" s="203" t="str">
        <x:v>Combined financial statements / revenue disaggregation</x:v>
      </x:c>
      <x:c r="H97" s="203" t="str">
        <x:v>https://www.sec.gov/Archives/edgar/data/2132873/000119312526419170/d122415dex991.htm</x:v>
      </x:c>
      <x:c r="I97" s="203" t="str">
        <x:v>Reported</x:v>
      </x:c>
    </x:row>
    <x:row r="98">
      <x:c r="A98" s="203" t="str">
        <x:v>Reported Rangers carve-out</x:v>
      </x:c>
      <x:c r="B98" s="203" t="str">
        <x:v>Pre-tax income</x:v>
      </x:c>
      <x:c r="C98" s="203" t="str">
        <x:v>FY2024</x:v>
      </x:c>
      <x:c r="D98" s="204" t="n">
        <x:v>18.464</x:v>
      </x:c>
      <x:c r="E98" s="203" t="str">
        <x:v>$mm</x:v>
      </x:c>
      <x:c r="F98" s="203" t="str">
        <x:v>Rangers Form 10 information statement</x:v>
      </x:c>
      <x:c r="G98" s="203" t="str">
        <x:v>Combined financial statements / revenue disaggregation</x:v>
      </x:c>
      <x:c r="H98" s="203" t="str">
        <x:v>https://www.sec.gov/Archives/edgar/data/2132873/000119312526419170/d122415dex991.htm</x:v>
      </x:c>
      <x:c r="I98" s="203" t="str">
        <x:v>Reported</x:v>
      </x:c>
    </x:row>
    <x:row r="99">
      <x:c r="A99" s="203" t="str">
        <x:v>Reported Rangers carve-out</x:v>
      </x:c>
      <x:c r="B99" s="203" t="str">
        <x:v>Pre-tax income</x:v>
      </x:c>
      <x:c r="C99" s="203" t="str">
        <x:v>FY2025</x:v>
      </x:c>
      <x:c r="D99" s="204" t="n">
        <x:v>-27.846</x:v>
      </x:c>
      <x:c r="E99" s="203" t="str">
        <x:v>$mm</x:v>
      </x:c>
      <x:c r="F99" s="203" t="str">
        <x:v>Rangers Form 10 information statement</x:v>
      </x:c>
      <x:c r="G99" s="203" t="str">
        <x:v>Combined financial statements / revenue disaggregation</x:v>
      </x:c>
      <x:c r="H99" s="203" t="str">
        <x:v>https://www.sec.gov/Archives/edgar/data/2132873/000119312526419170/d122415dex991.htm</x:v>
      </x:c>
      <x:c r="I99" s="203" t="str">
        <x:v>Reported</x:v>
      </x:c>
    </x:row>
    <x:row r="100">
      <x:c r="A100" s="203" t="str">
        <x:v>Reported Rangers carve-out</x:v>
      </x:c>
      <x:c r="B100" s="203" t="str">
        <x:v>Pre-tax income</x:v>
      </x:c>
      <x:c r="C100" s="203" t="str">
        <x:v>FY2026</x:v>
      </x:c>
      <x:c r="D100" s="204" t="n">
        <x:v>-34.15</x:v>
      </x:c>
      <x:c r="E100" s="203" t="str">
        <x:v>$mm</x:v>
      </x:c>
      <x:c r="F100" s="203" t="str">
        <x:v>Rangers Form 10 information statement</x:v>
      </x:c>
      <x:c r="G100" s="203" t="str">
        <x:v>Combined financial statements / revenue disaggregation</x:v>
      </x:c>
      <x:c r="H100" s="203" t="str">
        <x:v>https://www.sec.gov/Archives/edgar/data/2132873/000119312526419170/d122415dex991.htm</x:v>
      </x:c>
      <x:c r="I100" s="203" t="str">
        <x:v>Reported</x:v>
      </x:c>
    </x:row>
    <x:row r="101">
      <x:c r="A101" s="203" t="str">
        <x:v>Reported Rangers carve-out</x:v>
      </x:c>
      <x:c r="B101" s="203" t="str">
        <x:v>Income tax expense / benefit</x:v>
      </x:c>
      <x:c r="C101" s="203" t="str">
        <x:v>FY2024</x:v>
      </x:c>
      <x:c r="D101" s="204" t="n">
        <x:v>-11.024</x:v>
      </x:c>
      <x:c r="E101" s="203" t="str">
        <x:v>$mm</x:v>
      </x:c>
      <x:c r="F101" s="203" t="str">
        <x:v>Rangers Form 10 information statement</x:v>
      </x:c>
      <x:c r="G101" s="203" t="str">
        <x:v>Combined financial statements / revenue disaggregation</x:v>
      </x:c>
      <x:c r="H101" s="203" t="str">
        <x:v>https://www.sec.gov/Archives/edgar/data/2132873/000119312526419170/d122415dex991.htm</x:v>
      </x:c>
      <x:c r="I101" s="203" t="str">
        <x:v>Reported</x:v>
      </x:c>
    </x:row>
    <x:row r="102">
      <x:c r="A102" s="203" t="str">
        <x:v>Reported Rangers carve-out</x:v>
      </x:c>
      <x:c r="B102" s="203" t="str">
        <x:v>Income tax expense / benefit</x:v>
      </x:c>
      <x:c r="C102" s="203" t="str">
        <x:v>FY2025</x:v>
      </x:c>
      <x:c r="D102" s="204" t="n">
        <x:v>4.81</x:v>
      </x:c>
      <x:c r="E102" s="203" t="str">
        <x:v>$mm</x:v>
      </x:c>
      <x:c r="F102" s="203" t="str">
        <x:v>Rangers Form 10 information statement</x:v>
      </x:c>
      <x:c r="G102" s="203" t="str">
        <x:v>Combined financial statements / revenue disaggregation</x:v>
      </x:c>
      <x:c r="H102" s="203" t="str">
        <x:v>https://www.sec.gov/Archives/edgar/data/2132873/000119312526419170/d122415dex991.htm</x:v>
      </x:c>
      <x:c r="I102" s="203" t="str">
        <x:v>Reported</x:v>
      </x:c>
    </x:row>
    <x:row r="103">
      <x:c r="A103" s="203" t="str">
        <x:v>Reported Rangers carve-out</x:v>
      </x:c>
      <x:c r="B103" s="203" t="str">
        <x:v>Income tax expense / benefit</x:v>
      </x:c>
      <x:c r="C103" s="203" t="str">
        <x:v>FY2026</x:v>
      </x:c>
      <x:c r="D103" s="204" t="n">
        <x:v>7.772</x:v>
      </x:c>
      <x:c r="E103" s="203" t="str">
        <x:v>$mm</x:v>
      </x:c>
      <x:c r="F103" s="203" t="str">
        <x:v>Rangers Form 10 information statement</x:v>
      </x:c>
      <x:c r="G103" s="203" t="str">
        <x:v>Combined financial statements / revenue disaggregation</x:v>
      </x:c>
      <x:c r="H103" s="203" t="str">
        <x:v>https://www.sec.gov/Archives/edgar/data/2132873/000119312526419170/d122415dex991.htm</x:v>
      </x:c>
      <x:c r="I103" s="203" t="str">
        <x:v>Reported</x:v>
      </x:c>
    </x:row>
    <x:row r="104">
      <x:c r="A104" s="203" t="str">
        <x:v>Reported Rangers carve-out</x:v>
      </x:c>
      <x:c r="B104" s="203" t="str">
        <x:v>Net income</x:v>
      </x:c>
      <x:c r="C104" s="203" t="str">
        <x:v>FY2024</x:v>
      </x:c>
      <x:c r="D104" s="204" t="n">
        <x:v>7.44</x:v>
      </x:c>
      <x:c r="E104" s="203" t="str">
        <x:v>$mm</x:v>
      </x:c>
      <x:c r="F104" s="203" t="str">
        <x:v>Rangers Form 10 information statement</x:v>
      </x:c>
      <x:c r="G104" s="203" t="str">
        <x:v>Combined financial statements / revenue disaggregation</x:v>
      </x:c>
      <x:c r="H104" s="203" t="str">
        <x:v>https://www.sec.gov/Archives/edgar/data/2132873/000119312526419170/d122415dex991.htm</x:v>
      </x:c>
      <x:c r="I104" s="203" t="str">
        <x:v>Reported</x:v>
      </x:c>
    </x:row>
    <x:row r="105">
      <x:c r="A105" s="203" t="str">
        <x:v>Reported Rangers carve-out</x:v>
      </x:c>
      <x:c r="B105" s="203" t="str">
        <x:v>Net income</x:v>
      </x:c>
      <x:c r="C105" s="203" t="str">
        <x:v>FY2025</x:v>
      </x:c>
      <x:c r="D105" s="204" t="n">
        <x:v>-23.036</x:v>
      </x:c>
      <x:c r="E105" s="203" t="str">
        <x:v>$mm</x:v>
      </x:c>
      <x:c r="F105" s="203" t="str">
        <x:v>Rangers Form 10 information statement</x:v>
      </x:c>
      <x:c r="G105" s="203" t="str">
        <x:v>Combined financial statements / revenue disaggregation</x:v>
      </x:c>
      <x:c r="H105" s="203" t="str">
        <x:v>https://www.sec.gov/Archives/edgar/data/2132873/000119312526419170/d122415dex991.htm</x:v>
      </x:c>
      <x:c r="I105" s="203" t="str">
        <x:v>Reported</x:v>
      </x:c>
    </x:row>
    <x:row r="106">
      <x:c r="A106" s="203" t="str">
        <x:v>Reported Rangers carve-out</x:v>
      </x:c>
      <x:c r="B106" s="203" t="str">
        <x:v>Net income</x:v>
      </x:c>
      <x:c r="C106" s="203" t="str">
        <x:v>FY2026</x:v>
      </x:c>
      <x:c r="D106" s="204" t="n">
        <x:v>-26.378</x:v>
      </x:c>
      <x:c r="E106" s="203" t="str">
        <x:v>$mm</x:v>
      </x:c>
      <x:c r="F106" s="203" t="str">
        <x:v>Rangers Form 10 information statement</x:v>
      </x:c>
      <x:c r="G106" s="203" t="str">
        <x:v>Combined financial statements / revenue disaggregation</x:v>
      </x:c>
      <x:c r="H106" s="203" t="str">
        <x:v>https://www.sec.gov/Archives/edgar/data/2132873/000119312526419170/d122415dex991.htm</x:v>
      </x:c>
      <x:c r="I106" s="203" t="str">
        <x:v>Reported</x:v>
      </x:c>
    </x:row>
    <x:row r="107">
      <x:c r="A107" s="203" t="str">
        <x:v>Reported Rangers carve-out</x:v>
      </x:c>
      <x:c r="B107" s="203" t="str">
        <x:v>Cash flow from operations</x:v>
      </x:c>
      <x:c r="C107" s="203" t="str">
        <x:v>FY2024</x:v>
      </x:c>
      <x:c r="D107" s="204" t="n">
        <x:v>6.096</x:v>
      </x:c>
      <x:c r="E107" s="203" t="str">
        <x:v>$mm</x:v>
      </x:c>
      <x:c r="F107" s="203" t="str">
        <x:v>Rangers Form 10 information statement</x:v>
      </x:c>
      <x:c r="G107" s="203" t="str">
        <x:v>Combined financial statements / revenue disaggregation</x:v>
      </x:c>
      <x:c r="H107" s="203" t="str">
        <x:v>https://www.sec.gov/Archives/edgar/data/2132873/000119312526419170/d122415dex991.htm</x:v>
      </x:c>
      <x:c r="I107" s="203" t="str">
        <x:v>Reported</x:v>
      </x:c>
    </x:row>
    <x:row r="108">
      <x:c r="A108" s="203" t="str">
        <x:v>Reported Rangers carve-out</x:v>
      </x:c>
      <x:c r="B108" s="203" t="str">
        <x:v>Cash flow from operations</x:v>
      </x:c>
      <x:c r="C108" s="203" t="str">
        <x:v>FY2025</x:v>
      </x:c>
      <x:c r="D108" s="204" t="n">
        <x:v>-3.241</x:v>
      </x:c>
      <x:c r="E108" s="203" t="str">
        <x:v>$mm</x:v>
      </x:c>
      <x:c r="F108" s="203" t="str">
        <x:v>Rangers Form 10 information statement</x:v>
      </x:c>
      <x:c r="G108" s="203" t="str">
        <x:v>Combined financial statements / revenue disaggregation</x:v>
      </x:c>
      <x:c r="H108" s="203" t="str">
        <x:v>https://www.sec.gov/Archives/edgar/data/2132873/000119312526419170/d122415dex991.htm</x:v>
      </x:c>
      <x:c r="I108" s="203" t="str">
        <x:v>Reported</x:v>
      </x:c>
    </x:row>
    <x:row r="109">
      <x:c r="A109" s="203" t="str">
        <x:v>Reported Rangers carve-out</x:v>
      </x:c>
      <x:c r="B109" s="203" t="str">
        <x:v>Cash flow from operations</x:v>
      </x:c>
      <x:c r="C109" s="203" t="str">
        <x:v>FY2026</x:v>
      </x:c>
      <x:c r="D109" s="204" t="n">
        <x:v>-48.661</x:v>
      </x:c>
      <x:c r="E109" s="203" t="str">
        <x:v>$mm</x:v>
      </x:c>
      <x:c r="F109" s="203" t="str">
        <x:v>Rangers Form 10 information statement</x:v>
      </x:c>
      <x:c r="G109" s="203" t="str">
        <x:v>Combined financial statements / revenue disaggregation</x:v>
      </x:c>
      <x:c r="H109" s="203" t="str">
        <x:v>https://www.sec.gov/Archives/edgar/data/2132873/000119312526419170/d122415dex991.htm</x:v>
      </x:c>
      <x:c r="I109" s="203" t="str">
        <x:v>Reported</x:v>
      </x:c>
    </x:row>
    <x:row r="110">
      <x:c r="A110" s="203" t="str">
        <x:v>Reported Rangers carve-out</x:v>
      </x:c>
      <x:c r="B110" s="203" t="str">
        <x:v>Capital spending</x:v>
      </x:c>
      <x:c r="C110" s="203" t="str">
        <x:v>FY2024</x:v>
      </x:c>
      <x:c r="D110" s="204" t="n">
        <x:v>0.646</x:v>
      </x:c>
      <x:c r="E110" s="203" t="str">
        <x:v>$mm</x:v>
      </x:c>
      <x:c r="F110" s="203" t="str">
        <x:v>Rangers Form 10 information statement</x:v>
      </x:c>
      <x:c r="G110" s="203" t="str">
        <x:v>Combined financial statements / revenue disaggregation</x:v>
      </x:c>
      <x:c r="H110" s="203" t="str">
        <x:v>https://www.sec.gov/Archives/edgar/data/2132873/000119312526419170/d122415dex991.htm</x:v>
      </x:c>
      <x:c r="I110" s="203" t="str">
        <x:v>Reported</x:v>
      </x:c>
    </x:row>
    <x:row r="111">
      <x:c r="A111" s="203" t="str">
        <x:v>Reported Rangers carve-out</x:v>
      </x:c>
      <x:c r="B111" s="203" t="str">
        <x:v>Capital spending</x:v>
      </x:c>
      <x:c r="C111" s="203" t="str">
        <x:v>FY2025</x:v>
      </x:c>
      <x:c r="D111" s="204" t="n">
        <x:v>0.472</x:v>
      </x:c>
      <x:c r="E111" s="203" t="str">
        <x:v>$mm</x:v>
      </x:c>
      <x:c r="F111" s="203" t="str">
        <x:v>Rangers Form 10 information statement</x:v>
      </x:c>
      <x:c r="G111" s="203" t="str">
        <x:v>Combined financial statements / revenue disaggregation</x:v>
      </x:c>
      <x:c r="H111" s="203" t="str">
        <x:v>https://www.sec.gov/Archives/edgar/data/2132873/000119312526419170/d122415dex991.htm</x:v>
      </x:c>
      <x:c r="I111" s="203" t="str">
        <x:v>Reported</x:v>
      </x:c>
    </x:row>
    <x:row r="112">
      <x:c r="A112" s="203" t="str">
        <x:v>Reported Rangers carve-out</x:v>
      </x:c>
      <x:c r="B112" s="203" t="str">
        <x:v>Capital spending</x:v>
      </x:c>
      <x:c r="C112" s="203" t="str">
        <x:v>FY2026</x:v>
      </x:c>
      <x:c r="D112" s="204" t="n">
        <x:v>0.634</x:v>
      </x:c>
      <x:c r="E112" s="203" t="str">
        <x:v>$mm</x:v>
      </x:c>
      <x:c r="F112" s="203" t="str">
        <x:v>Rangers Form 10 information statement</x:v>
      </x:c>
      <x:c r="G112" s="203" t="str">
        <x:v>Combined financial statements / revenue disaggregation</x:v>
      </x:c>
      <x:c r="H112" s="203" t="str">
        <x:v>https://www.sec.gov/Archives/edgar/data/2132873/000119312526419170/d122415dex991.htm</x:v>
      </x:c>
      <x:c r="I112" s="203" t="str">
        <x:v>Reported</x:v>
      </x:c>
    </x:row>
    <x:row r="113">
      <x:c r="A113" s="203" t="str">
        <x:v>Balance sheet / equity bridge</x:v>
      </x:c>
      <x:c r="B113" s="203" t="str">
        <x:v>MSG Sports cash</x:v>
      </x:c>
      <x:c r="C113" s="203" t="str">
        <x:v>FY2026</x:v>
      </x:c>
      <x:c r="D113" s="204" t="n">
        <x:v>164.511</x:v>
      </x:c>
      <x:c r="E113" s="203" t="str">
        <x:v>$mm</x:v>
      </x:c>
      <x:c r="F113" s="203" t="str">
        <x:v>MSG Sports FY2026 Form 10-K</x:v>
      </x:c>
      <x:c r="G113" s="203" t="str">
        <x:v>Balance sheet / capitalization</x:v>
      </x:c>
      <x:c r="H113" s="203" t="str">
        <x:v>https://www.sec.gov/Archives/edgar/data/1636519/000162828026056812/msgs-20260630.htm</x:v>
      </x:c>
      <x:c r="I113" s="203" t="str">
        <x:v>Reported or pro forma bridge</x:v>
      </x:c>
    </x:row>
    <x:row r="114">
      <x:c r="A114" s="203" t="str">
        <x:v>Balance sheet / equity bridge</x:v>
      </x:c>
      <x:c r="B114" s="203" t="str">
        <x:v>Rangers cash</x:v>
      </x:c>
      <x:c r="C114" s="203" t="str">
        <x:v>FY2026</x:v>
      </x:c>
      <x:c r="D114" s="204" t="n">
        <x:v>0.16</x:v>
      </x:c>
      <x:c r="E114" s="203" t="str">
        <x:v>$mm</x:v>
      </x:c>
      <x:c r="F114" s="203" t="str">
        <x:v>Rangers Form 10 information statement</x:v>
      </x:c>
      <x:c r="G114" s="203" t="str">
        <x:v>Balance sheet / capitalization</x:v>
      </x:c>
      <x:c r="H114" s="203" t="str">
        <x:v>https://www.sec.gov/Archives/edgar/data/2132873/000119312526419170/d122415dex991.htm</x:v>
      </x:c>
      <x:c r="I114" s="203" t="str">
        <x:v>Reported or pro forma bridge</x:v>
      </x:c>
    </x:row>
    <x:row r="115">
      <x:c r="A115" s="203" t="str">
        <x:v>Balance sheet / equity bridge</x:v>
      </x:c>
      <x:c r="B115" s="203" t="str">
        <x:v>MSG Sports current debt</x:v>
      </x:c>
      <x:c r="C115" s="203" t="str">
        <x:v>FY2026</x:v>
      </x:c>
      <x:c r="D115" s="204" t="n">
        <x:v>16.5</x:v>
      </x:c>
      <x:c r="E115" s="203" t="str">
        <x:v>$mm</x:v>
      </x:c>
      <x:c r="F115" s="203" t="str">
        <x:v>MSG Sports FY2026 Form 10-K</x:v>
      </x:c>
      <x:c r="G115" s="203" t="str">
        <x:v>Balance sheet / capitalization</x:v>
      </x:c>
      <x:c r="H115" s="203" t="str">
        <x:v>https://www.sec.gov/Archives/edgar/data/1636519/000162828026056812/msgs-20260630.htm</x:v>
      </x:c>
      <x:c r="I115" s="203" t="str">
        <x:v>Reported or pro forma bridge</x:v>
      </x:c>
    </x:row>
    <x:row r="116">
      <x:c r="A116" s="203" t="str">
        <x:v>Balance sheet / equity bridge</x:v>
      </x:c>
      <x:c r="B116" s="203" t="str">
        <x:v>Rangers current debt</x:v>
      </x:c>
      <x:c r="C116" s="203" t="str">
        <x:v>FY2026</x:v>
      </x:c>
      <x:c r="D116" s="204" t="n">
        <x:v>16.5</x:v>
      </x:c>
      <x:c r="E116" s="203" t="str">
        <x:v>$mm</x:v>
      </x:c>
      <x:c r="F116" s="203" t="str">
        <x:v>Rangers Form 10 information statement</x:v>
      </x:c>
      <x:c r="G116" s="203" t="str">
        <x:v>Balance sheet / capitalization</x:v>
      </x:c>
      <x:c r="H116" s="203" t="str">
        <x:v>https://www.sec.gov/Archives/edgar/data/2132873/000119312526419170/d122415dex991.htm</x:v>
      </x:c>
      <x:c r="I116" s="203" t="str">
        <x:v>Reported or pro forma bridge</x:v>
      </x:c>
    </x:row>
    <x:row r="117">
      <x:c r="A117" s="203" t="str">
        <x:v>Balance sheet / equity bridge</x:v>
      </x:c>
      <x:c r="B117" s="203" t="str">
        <x:v>MSG Sports long-term debt</x:v>
      </x:c>
      <x:c r="C117" s="203" t="str">
        <x:v>FY2026</x:v>
      </x:c>
      <x:c r="D117" s="204" t="n">
        <x:v>242</x:v>
      </x:c>
      <x:c r="E117" s="203" t="str">
        <x:v>$mm</x:v>
      </x:c>
      <x:c r="F117" s="203" t="str">
        <x:v>MSG Sports FY2026 Form 10-K</x:v>
      </x:c>
      <x:c r="G117" s="203" t="str">
        <x:v>Balance sheet / capitalization</x:v>
      </x:c>
      <x:c r="H117" s="203" t="str">
        <x:v>https://www.sec.gov/Archives/edgar/data/1636519/000162828026056812/msgs-20260630.htm</x:v>
      </x:c>
      <x:c r="I117" s="203" t="str">
        <x:v>Reported or pro forma bridge</x:v>
      </x:c>
    </x:row>
    <x:row r="118">
      <x:c r="A118" s="203" t="str">
        <x:v>Balance sheet / equity bridge</x:v>
      </x:c>
      <x:c r="B118" s="203" t="str">
        <x:v>Rangers long-term debt</x:v>
      </x:c>
      <x:c r="C118" s="203" t="str">
        <x:v>FY2026</x:v>
      </x:c>
      <x:c r="D118" s="204" t="n">
        <x:v>0</x:v>
      </x:c>
      <x:c r="E118" s="203" t="str">
        <x:v>$mm</x:v>
      </x:c>
      <x:c r="F118" s="203" t="str">
        <x:v>Rangers Form 10 information statement</x:v>
      </x:c>
      <x:c r="G118" s="203" t="str">
        <x:v>Balance sheet / capitalization</x:v>
      </x:c>
      <x:c r="H118" s="203" t="str">
        <x:v>https://www.sec.gov/Archives/edgar/data/2132873/000119312526419170/d122415dex991.htm</x:v>
      </x:c>
      <x:c r="I118" s="203" t="str">
        <x:v>Reported or pro forma bridge</x:v>
      </x:c>
    </x:row>
    <x:row r="119">
      <x:c r="A119" s="203" t="str">
        <x:v>Balance sheet / equity bridge</x:v>
      </x:c>
      <x:c r="B119" s="203" t="str">
        <x:v>Additional Knicks borrowing</x:v>
      </x:c>
      <x:c r="C119" s="203" t="str">
        <x:v>2026-07-22</x:v>
      </x:c>
      <x:c r="D119" s="204" t="n">
        <x:v>20</x:v>
      </x:c>
      <x:c r="E119" s="203" t="str">
        <x:v>$mm</x:v>
      </x:c>
      <x:c r="F119" s="203" t="str">
        <x:v>Rangers Form 10 information statement</x:v>
      </x:c>
      <x:c r="G119" s="203" t="str">
        <x:v>Balance sheet / capitalization</x:v>
      </x:c>
      <x:c r="H119" s="203" t="str">
        <x:v>https://www.sec.gov/Archives/edgar/data/2132873/000119312526419170/d122415dex991.htm</x:v>
      </x:c>
      <x:c r="I119" s="203" t="str">
        <x:v>Reported or pro forma bridge</x:v>
      </x:c>
    </x:row>
    <x:row r="120">
      <x:c r="A120" s="203" t="str">
        <x:v>Balance sheet / equity bridge</x:v>
      </x:c>
      <x:c r="B120" s="203" t="str">
        <x:v>Additional Knicks cash proceeds</x:v>
      </x:c>
      <x:c r="C120" s="203" t="str">
        <x:v>2026-07-22</x:v>
      </x:c>
      <x:c r="D120" s="204" t="n">
        <x:v>20</x:v>
      </x:c>
      <x:c r="E120" s="203" t="str">
        <x:v>$mm</x:v>
      </x:c>
      <x:c r="F120" s="203" t="str">
        <x:v>Rangers Form 10 information statement</x:v>
      </x:c>
      <x:c r="G120" s="203" t="str">
        <x:v>Balance sheet / capitalization</x:v>
      </x:c>
      <x:c r="H120" s="203" t="str">
        <x:v>https://www.sec.gov/Archives/edgar/data/2132873/000119312526419170/d122415dex991.htm</x:v>
      </x:c>
      <x:c r="I120" s="203" t="str">
        <x:v>Reported or pro forma bridge</x:v>
      </x:c>
    </x:row>
    <x:row r="121">
      <x:c r="A121" s="203" t="str">
        <x:v>Balance sheet / equity bridge</x:v>
      </x:c>
      <x:c r="B121" s="203" t="str">
        <x:v>Diluted Class A + B + RSUs</x:v>
      </x:c>
      <x:c r="C121" s="203" t="str">
        <x:v>2026-09-25</x:v>
      </x:c>
      <x:c r="D121" s="204" t="n">
        <x:v>24.211</x:v>
      </x:c>
      <x:c r="E121" s="203" t="str">
        <x:v>mm shares</x:v>
      </x:c>
      <x:c r="F121" s="203" t="str">
        <x:v>Rangers Form 10 information statement</x:v>
      </x:c>
      <x:c r="G121" s="203" t="str">
        <x:v>Balance sheet / capitalization</x:v>
      </x:c>
      <x:c r="H121" s="203" t="str">
        <x:v>https://www.sec.gov/Archives/edgar/data/2132873/000119312526419170/d122415dex991.htm</x:v>
      </x:c>
      <x:c r="I121" s="203" t="str">
        <x:v>Reported or pro forma bridge</x:v>
      </x:c>
    </x:row>
    <x:row r="122">
      <x:c r="A122" s="203" t="str">
        <x:v>WACC</x:v>
      </x:c>
      <x:c r="B122" s="203" t="str">
        <x:v>10-year Treasury yield</x:v>
      </x:c>
      <x:c r="C122" s="203" t="str">
        <x:v>2026-10-09</x:v>
      </x:c>
      <x:c r="D122" s="204" t="n">
        <x:v>0.0524</x:v>
      </x:c>
      <x:c r="E122" s="203" t="str">
        <x:v>%</x:v>
      </x:c>
      <x:c r="F122" s="203" t="str">
        <x:v>U.S. Treasury</x:v>
      </x:c>
      <x:c r="G122" s="203" t="str">
        <x:v>Daily Treasury par yield curve</x:v>
      </x:c>
      <x:c r="H122" s="203" t="str">
        <x:v>https://home.treasury.gov/</x:v>
      </x:c>
      <x:c r="I122" s="203" t="str">
        <x:v>Market input</x:v>
      </x:c>
    </x:row>
    <x:row r="123">
      <x:c r="A123" s="203" t="str">
        <x:v>WACC</x:v>
      </x:c>
      <x:c r="B123" s="203" t="str">
        <x:v>Implied equity risk premium</x:v>
      </x:c>
      <x:c r="C123" s="203" t="str">
        <x:v>2026-09-01</x:v>
      </x:c>
      <x:c r="D123" s="204" t="n">
        <x:v>0.0414</x:v>
      </x:c>
      <x:c r="E123" s="203" t="str">
        <x:v>%</x:v>
      </x:c>
      <x:c r="F123" s="203" t="str">
        <x:v>Aswath Damodaran</x:v>
      </x:c>
      <x:c r="G123" s="203" t="str">
        <x:v>Implied ERP</x:v>
      </x:c>
      <x:c r="H123" s="203" t="str">
        <x:v>https://pages.stern.nyu.edu/~adamodar/New_Home_Page/home.htm</x:v>
      </x:c>
      <x:c r="I123" s="203" t="str">
        <x:v>Market input</x:v>
      </x:c>
    </x:row>
    <x:row r="124">
      <x:c r="A124" s="203" t="str">
        <x:v>WACC</x:v>
      </x:c>
      <x:c r="B124" s="203" t="str">
        <x:v>Selected beta</x:v>
      </x:c>
      <x:c r="C124" s="203" t="str">
        <x:v>2026-10-09</x:v>
      </x:c>
      <x:c r="D124" s="204" t="n">
        <x:v>1</x:v>
      </x:c>
      <x:c r="E124" s="203" t="str">
        <x:v>x</x:v>
      </x:c>
      <x:c r="F124" s="203" t="str">
        <x:v>Analyst assumption informed by MANU and BATRA</x:v>
      </x:c>
      <x:c r="G124" s="203" t="str">
        <x:v>Peer beta cross-check</x:v>
      </x:c>
      <x:c r="H124" s="203" t="str">
        <x:v>https://finance.yahoo.com/quote/MANU/</x:v>
      </x:c>
      <x:c r="I124" s="203" t="str">
        <x:v>Forecast assumption</x:v>
      </x:c>
    </x:row>
    <x:row r="125">
      <x:c r="A125" s="203" t="str">
        <x:v>WACC</x:v>
      </x:c>
      <x:c r="B125" s="203" t="str">
        <x:v>Pre-tax cost of debt</x:v>
      </x:c>
      <x:c r="C125" s="203" t="str">
        <x:v>FY2026</x:v>
      </x:c>
      <x:c r="D125" s="204" t="n">
        <x:v>0.0499</x:v>
      </x:c>
      <x:c r="E125" s="203" t="str">
        <x:v>%</x:v>
      </x:c>
      <x:c r="F125" s="203" t="str">
        <x:v>Rangers Form 10 information statement</x:v>
      </x:c>
      <x:c r="G125" s="203" t="str">
        <x:v>Knicks credit facility</x:v>
      </x:c>
      <x:c r="H125" s="203" t="str">
        <x:v>https://www.sec.gov/Archives/edgar/data/2132873/000119312526419170/d122415dex991.htm</x:v>
      </x:c>
      <x:c r="I125" s="203" t="str">
        <x:v>Reported borrowing cost</x:v>
      </x:c>
    </x:row>
    <x:row r="126">
      <x:c r="A126" s="203" t="str">
        <x:v>Peer cross-check</x:v>
      </x:c>
      <x:c r="B126" s="203" t="str">
        <x:v>Manchester United EV / Revenue</x:v>
      </x:c>
      <x:c r="C126" s="203" t="str">
        <x:v>2026-10</x:v>
      </x:c>
      <x:c r="D126" s="204" t="n">
        <x:v>4.83</x:v>
      </x:c>
      <x:c r="E126" s="203" t="str">
        <x:v>x</x:v>
      </x:c>
      <x:c r="F126" s="203" t="str">
        <x:v>Yahoo Finance</x:v>
      </x:c>
      <x:c r="G126" s="203" t="str">
        <x:v>Valuation statistics</x:v>
      </x:c>
      <x:c r="H126" s="203" t="str">
        <x:v>https://finance.yahoo.com/quote/MANU/</x:v>
      </x:c>
      <x:c r="I126" s="203" t="str">
        <x:v>Market cross-check</x:v>
      </x:c>
    </x:row>
    <x:row r="127">
      <x:c r="A127" s="203" t="str">
        <x:v>Peer cross-check</x:v>
      </x:c>
      <x:c r="B127" s="203" t="str">
        <x:v>Atlanta Braves Holdings EV / Revenue</x:v>
      </x:c>
      <x:c r="C127" s="203" t="str">
        <x:v>2026-10</x:v>
      </x:c>
      <x:c r="D127" s="204" t="n">
        <x:v>3.51</x:v>
      </x:c>
      <x:c r="E127" s="203" t="str">
        <x:v>x</x:v>
      </x:c>
      <x:c r="F127" s="203" t="str">
        <x:v>PortfolioLab</x:v>
      </x:c>
      <x:c r="G127" s="203" t="str">
        <x:v>Valuation statistics</x:v>
      </x:c>
      <x:c r="H127" s="203" t="str">
        <x:v>https://portfolioslab.com/symbol/BATRA</x:v>
      </x:c>
      <x:c r="I127" s="203" t="str">
        <x:v>Market cross-check</x:v>
      </x:c>
    </x:row>
    <x:row r="128">
      <x:c r="A128" s="203" t="str">
        <x:v>Market context</x:v>
      </x:c>
      <x:c r="B128" s="203" t="str">
        <x:v>MSG Sports closing share price</x:v>
      </x:c>
      <x:c r="C128" s="203" t="str">
        <x:v>2026-10-09</x:v>
      </x:c>
      <x:c r="D128" s="204" t="n">
        <x:v>402.3</x:v>
      </x:c>
      <x:c r="E128" s="203" t="str">
        <x:v>$/share</x:v>
      </x:c>
      <x:c r="F128" s="203" t="str">
        <x:v>StockAnalysis / historical price</x:v>
      </x:c>
      <x:c r="G128" s="203" t="str">
        <x:v>Market capitalization</x:v>
      </x:c>
      <x:c r="H128" s="203" t="str">
        <x:v>https://stockanalysis.com/stocks/msgs/market-cap/</x:v>
      </x:c>
      <x:c r="I128" s="203" t="str">
        <x:v>Context only; not a model target</x:v>
      </x:c>
    </x:row>
    <x:row r="129">
      <x:c r="A129" s="203" t="str">
        <x:v>Normalization</x:v>
      </x:c>
      <x:c r="B129" s="203" t="str">
        <x:v>FY2026 Knicks home playoff games</x:v>
      </x:c>
      <x:c r="C129" s="203" t="str">
        <x:v>FY2026</x:v>
      </x:c>
      <x:c r="D129" s="204" t="n">
        <x:v>9</x:v>
      </x:c>
      <x:c r="E129" s="203" t="str">
        <x:v>games</x:v>
      </x:c>
      <x:c r="F129" s="203" t="str">
        <x:v>MSG Sports FY2026 Form 10-K</x:v>
      </x:c>
      <x:c r="G129" s="203" t="str">
        <x:v>Business / results discussion</x:v>
      </x:c>
      <x:c r="H129" s="203" t="str">
        <x:v>https://www.sec.gov/Archives/edgar/data/1636519/000162828026056812/msgs-20260630.htm</x:v>
      </x:c>
      <x:c r="I129" s="203" t="str">
        <x:v>Reported</x:v>
      </x:c>
    </x:row>
    <x:row r="130">
      <x:c r="A130" s="203" t="str">
        <x:v>Normalization</x:v>
      </x:c>
      <x:c r="B130" s="203" t="str">
        <x:v>Playoff-related revenue increase</x:v>
      </x:c>
      <x:c r="C130" s="203" t="str">
        <x:v>FY2026</x:v>
      </x:c>
      <x:c r="D130" s="204" t="n">
        <x:v>66.893</x:v>
      </x:c>
      <x:c r="E130" s="203" t="str">
        <x:v>$mm</x:v>
      </x:c>
      <x:c r="F130" s="203" t="str">
        <x:v>MSG Sports FY2026 Form 10-K</x:v>
      </x:c>
      <x:c r="G130" s="203" t="str">
        <x:v>Results discussion</x:v>
      </x:c>
      <x:c r="H130" s="203" t="str">
        <x:v>https://www.sec.gov/Archives/edgar/data/1636519/000162828026056812/msgs-20260630.htm</x:v>
      </x:c>
      <x:c r="I130" s="203" t="str">
        <x:v>Reported championship premium</x:v>
      </x:c>
    </x:row>
    <x:row r="131">
      <x:c r="A131" s="203" t="str">
        <x:v>Normalization</x:v>
      </x:c>
      <x:c r="B131" s="203" t="str">
        <x:v>Playoff-related expense increase</x:v>
      </x:c>
      <x:c r="C131" s="203" t="str">
        <x:v>FY2026</x:v>
      </x:c>
      <x:c r="D131" s="204" t="n">
        <x:v>49.532</x:v>
      </x:c>
      <x:c r="E131" s="203" t="str">
        <x:v>$mm</x:v>
      </x:c>
      <x:c r="F131" s="203" t="str">
        <x:v>MSG Sports FY2026 Form 10-K</x:v>
      </x:c>
      <x:c r="G131" s="203" t="str">
        <x:v>Results discussion</x:v>
      </x:c>
      <x:c r="H131" s="203" t="str">
        <x:v>https://www.sec.gov/Archives/edgar/data/1636519/000162828026056812/msgs-20260630.htm</x:v>
      </x:c>
      <x:c r="I131" s="203" t="str">
        <x:v>Reported championship premium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34" hidden="0" customWidth="1"/>
    <x:col min="4" max="4" width="14" hidden="0" customWidth="1"/>
  </x:cols>
  <x:sheetData>
    <x:row r="1" ht="30" customHeight="1">
      <x:c r="A1" s="3" t="str">
        <x:v>Model Checks</x:v>
      </x:c>
      <x:c r="B1" s="3"/>
      <x:c r="C1" s="3"/>
      <x:c r="D1" s="3"/>
      <x:c r="E1" s="3"/>
      <x:c r="F1" s="3"/>
    </x:row>
    <x:row r="2" ht="28" customHeight="1">
      <x:c r="A2" s="7" t="str">
        <x:v>Terminal independent checks only. No model output depends on this sheet.</x:v>
      </x:c>
      <x:c r="B2" s="7"/>
      <x:c r="C2" s="7"/>
      <x:c r="D2" s="7"/>
      <x:c r="E2" s="7"/>
      <x:c r="F2" s="7"/>
    </x:row>
    <x:row r="3">
      <x:c r="A3" s="157"/>
      <x:c r="B3" s="157"/>
      <x:c r="C3" s="157"/>
      <x:c r="D3" s="157"/>
      <x:c r="E3" s="157"/>
      <x:c r="F3" s="157"/>
    </x:row>
    <x:row r="4">
      <x:c r="A4" s="19" t="str">
        <x:v>Check</x:v>
      </x:c>
      <x:c r="B4" s="19" t="str">
        <x:v>Result</x:v>
      </x:c>
      <x:c r="C4" s="19" t="str">
        <x:v>Tolerance / rule</x:v>
      </x:c>
      <x:c r="D4" s="19" t="str">
        <x:v>Status</x:v>
      </x:c>
      <x:c r="E4" s="157"/>
      <x:c r="F4" s="157"/>
    </x:row>
    <x:row r="5">
      <x:c r="A5" s="157" t="str">
        <x:v>FY2024 revenue reconciliation</x:v>
      </x:c>
      <x:c r="B5" s="159" t="n">
        <x:f>'Operating Model'!B54+('Operating Model'!B32)-'Operating Model'!B10</x:f>
        <x:v>0</x:v>
      </x:c>
      <x:c r="C5" s="157" t="str">
        <x:v>Absolute difference &lt; $0.001mm</x:v>
      </x:c>
      <x:c r="D5" s="157" t="str">
        <x:f>IF(ABS(B5)&lt;0.001,"PASS","FAIL")</x:f>
        <x:v>PASS</x:v>
      </x:c>
      <x:c r="E5" s="157"/>
      <x:c r="F5" s="157"/>
    </x:row>
    <x:row r="6">
      <x:c r="A6" s="157" t="str">
        <x:v>FY2025 revenue reconciliation</x:v>
      </x:c>
      <x:c r="B6" s="159" t="n">
        <x:f>'Operating Model'!C54+('Operating Model'!C32)-'Operating Model'!C10</x:f>
        <x:v>0</x:v>
      </x:c>
      <x:c r="C6" s="157" t="str">
        <x:v>Absolute difference &lt; $0.001mm</x:v>
      </x:c>
      <x:c r="D6" s="157" t="str">
        <x:f>IF(ABS(B6)&lt;0.001,"PASS","FAIL")</x:f>
        <x:v>PASS</x:v>
      </x:c>
      <x:c r="E6" s="157"/>
      <x:c r="F6" s="157"/>
    </x:row>
    <x:row r="7">
      <x:c r="A7" s="157" t="str">
        <x:v>FY2026 revenue reconciliation</x:v>
      </x:c>
      <x:c r="B7" s="159" t="n">
        <x:f>'Operating Model'!D54+('Operating Model'!D32)-'Operating Model'!D10</x:f>
        <x:v>0</x:v>
      </x:c>
      <x:c r="C7" s="157" t="str">
        <x:v>Absolute difference &lt; $0.001mm</x:v>
      </x:c>
      <x:c r="D7" s="157" t="str">
        <x:f>IF(ABS(B7)&lt;0.001,"PASS","FAIL")</x:f>
        <x:v>PASS</x:v>
      </x:c>
      <x:c r="E7" s="157"/>
      <x:c r="F7" s="157"/>
    </x:row>
    <x:row r="8">
      <x:c r="A8" s="157" t="str">
        <x:v>FY2024 EBIT reconciliation</x:v>
      </x:c>
      <x:c r="B8" s="159" t="n">
        <x:f>'Operating Model'!B60+('Operating Model'!B37)-'Operating Model'!B15</x:f>
        <x:v>0</x:v>
      </x:c>
      <x:c r="C8" s="157" t="str">
        <x:v>Absolute difference &lt; $0.001mm</x:v>
      </x:c>
      <x:c r="D8" s="157" t="str">
        <x:f>IF(ABS(B8)&lt;0.001,"PASS","FAIL")</x:f>
        <x:v>PASS</x:v>
      </x:c>
      <x:c r="E8" s="157"/>
      <x:c r="F8" s="157"/>
    </x:row>
    <x:row r="9">
      <x:c r="A9" s="157" t="str">
        <x:v>FY2025 EBIT reconciliation</x:v>
      </x:c>
      <x:c r="B9" s="159" t="n">
        <x:f>'Operating Model'!C60+('Operating Model'!C37)-'Operating Model'!C15</x:f>
        <x:v>0</x:v>
      </x:c>
      <x:c r="C9" s="157" t="str">
        <x:v>Absolute difference &lt; $0.001mm</x:v>
      </x:c>
      <x:c r="D9" s="157" t="str">
        <x:f>IF(ABS(B9)&lt;0.001,"PASS","FAIL")</x:f>
        <x:v>PASS</x:v>
      </x:c>
      <x:c r="E9" s="157"/>
      <x:c r="F9" s="157"/>
    </x:row>
    <x:row r="10">
      <x:c r="A10" s="157" t="str">
        <x:v>FY2026 EBIT reconciliation</x:v>
      </x:c>
      <x:c r="B10" s="159" t="n">
        <x:f>'Operating Model'!D60+('Operating Model'!D37)-'Operating Model'!D15</x:f>
        <x:v>0</x:v>
      </x:c>
      <x:c r="C10" s="157" t="str">
        <x:v>Absolute difference &lt; $0.001mm</x:v>
      </x:c>
      <x:c r="D10" s="157" t="str">
        <x:f>IF(ABS(B10)&lt;0.001,"PASS","FAIL")</x:f>
        <x:v>PASS</x:v>
      </x:c>
      <x:c r="E10" s="157"/>
      <x:c r="F10" s="157"/>
    </x:row>
    <x:row r="11">
      <x:c r="A11" s="157" t="str">
        <x:v>Cash bridge reconciliation</x:v>
      </x:c>
      <x:c r="B11" s="159" t="n">
        <x:f>ABS((164.511-0.160+20)-DCF!B27)</x:f>
        <x:v>0</x:v>
      </x:c>
      <x:c r="C11" s="157" t="str">
        <x:v>Absolute difference &lt; $0.001mm</x:v>
      </x:c>
      <x:c r="D11" s="157" t="str">
        <x:f>IF(ABS(B11)&lt;0.001,"PASS","FAIL")</x:f>
        <x:v>PASS</x:v>
      </x:c>
      <x:c r="E11" s="157"/>
      <x:c r="F11" s="157"/>
    </x:row>
    <x:row r="12">
      <x:c r="A12" s="157" t="str">
        <x:v>Debt bridge reconciliation</x:v>
      </x:c>
      <x:c r="B12" s="159" t="n">
        <x:f>ABS((242+20)-DCF!B28)</x:f>
        <x:v>0</x:v>
      </x:c>
      <x:c r="C12" s="157" t="str">
        <x:v>Absolute difference &lt; $0.001mm</x:v>
      </x:c>
      <x:c r="D12" s="157" t="str">
        <x:f>IF(ABS(B12)&lt;0.001,"PASS","FAIL")</x:f>
        <x:v>PASS</x:v>
      </x:c>
      <x:c r="E12" s="157"/>
      <x:c r="F12" s="157"/>
    </x:row>
    <x:row r="13">
      <x:c r="A13" s="157" t="str">
        <x:v>Zero playoff games yield zero downside playoff revenue</x:v>
      </x:c>
      <x:c r="B13" s="159" t="n">
        <x:f>Sensitivity!B25</x:f>
        <x:v>0</x:v>
      </x:c>
      <x:c r="C13" s="157" t="str">
        <x:v>Equals zero</x:v>
      </x:c>
      <x:c r="D13" s="157" t="str">
        <x:f>IF(ABS(B13)&lt;0.001,"PASS","FAIL")</x:f>
        <x:v>PASS</x:v>
      </x:c>
      <x:c r="E13" s="157"/>
      <x:c r="F13" s="157"/>
    </x:row>
    <x:row r="14">
      <x:c r="A14" s="157" t="str">
        <x:v>Zero playoff games yield zero downside playoff expense</x:v>
      </x:c>
      <x:c r="B14" s="159" t="n">
        <x:f>Sensitivity!B31</x:f>
        <x:v>0</x:v>
      </x:c>
      <x:c r="C14" s="157" t="str">
        <x:v>Equals zero</x:v>
      </x:c>
      <x:c r="D14" s="157" t="str">
        <x:f>IF(ABS(B14)&lt;0.001,"PASS","FAIL")</x:f>
        <x:v>PASS</x:v>
      </x:c>
      <x:c r="E14" s="157"/>
      <x:c r="F14" s="157"/>
    </x:row>
    <x:row r="15">
      <x:c r="A15" s="157" t="str">
        <x:v>Higher WACC lowers value</x:v>
      </x:c>
      <x:c r="B15" s="159" t="n">
        <x:f>Sensitivity!D6-Sensitivity!D12</x:f>
        <x:v>17.418280390257596</x:v>
      </x:c>
      <x:c r="C15" s="157" t="str">
        <x:v>Positive</x:v>
      </x:c>
      <x:c r="D15" s="157" t="str">
        <x:f>IF(B15&gt;0,"PASS","FAIL")</x:f>
        <x:v>PASS</x:v>
      </x:c>
      <x:c r="E15" s="157"/>
      <x:c r="F15" s="157"/>
    </x:row>
    <x:row r="16">
      <x:c r="A16" s="157" t="str">
        <x:v>Higher terminal growth raises value</x:v>
      </x:c>
      <x:c r="B16" s="159" t="n">
        <x:f>Sensitivity!F8-Sensitivity!B8</x:f>
        <x:v>10.409409689073904</x:v>
      </x:c>
      <x:c r="C16" s="157" t="str">
        <x:v>Positive</x:v>
      </x:c>
      <x:c r="D16" s="157" t="str">
        <x:f>IF(B16&gt;0,"PASS","FAIL")</x:f>
        <x:v>PASS</x:v>
      </x:c>
      <x:c r="E16" s="157"/>
      <x:c r="F16" s="157"/>
    </x:row>
    <x:row r="17">
      <x:c r="A17" s="157" t="str">
        <x:v>More playoff games increase value</x:v>
      </x:c>
      <x:c r="B17" s="159" t="n">
        <x:f>Sensitivity!K11-Sensitivity!K6</x:f>
        <x:v>36.13014574131661</x:v>
      </x:c>
      <x:c r="C17" s="157" t="str">
        <x:v>Positive</x:v>
      </x:c>
      <x:c r="D17" s="157" t="str">
        <x:f>IF(B17&gt;0,"PASS","FAIL")</x:f>
        <x:v>PASS</x:v>
      </x:c>
      <x:c r="E17" s="157"/>
      <x:c r="F17" s="157"/>
    </x:row>
    <x:row r="18">
      <x:c r="A18" s="157" t="str">
        <x:v>Case values ordered upside &gt; base &gt; downside</x:v>
      </x:c>
      <x:c r="B18" s="159" t="n">
        <x:f>Sensitivity!F19-Sensitivity!F18</x:f>
        <x:v>93.7817811779525</x:v>
      </x:c>
      <x:c r="C18" s="157" t="str">
        <x:v>Positive; base also &gt; downside</x:v>
      </x:c>
      <x:c r="D18" s="157" t="str">
        <x:f>IF(AND(B18&gt;0,Sensitivity!F18&gt;Sensitivity!F17),"PASS","FAIL")</x:f>
        <x:v>PASS</x:v>
      </x:c>
      <x:c r="E18" s="157"/>
      <x:c r="F18" s="157"/>
    </x:row>
    <x:row r="19">
      <x:c r="A19" s="157" t="str">
        <x:v>WACC exceeds terminal growth</x:v>
      </x:c>
      <x:c r="B19" s="159" t="n">
        <x:f>Assumptions!B37-Assumptions!F23</x:f>
        <x:v>0.06598124999999999</x:v>
      </x:c>
      <x:c r="C19" s="157" t="str">
        <x:v>Positive</x:v>
      </x:c>
      <x:c r="D19" s="157" t="str">
        <x:f>IF(B19&gt;0,"PASS","FAIL")</x:f>
        <x:v>PASS</x:v>
      </x:c>
      <x:c r="E19" s="157"/>
      <x:c r="F19" s="157"/>
    </x:row>
    <x:row r="20">
      <x:c r="A20" s="157" t="str">
        <x:v>Enterprise value equals PV components</x:v>
      </x:c>
      <x:c r="B20" s="159" t="n">
        <x:f>DCF!B26-DCF!B24-DCF!B25</x:f>
        <x:v>5.684341886080802e-14</x:v>
      </x:c>
      <x:c r="C20" s="157" t="str">
        <x:v>Absolute difference &lt; $0.001mm</x:v>
      </x:c>
      <x:c r="D20" s="157" t="str">
        <x:f>IF(ABS(B20)&lt;0.001,"PASS","FAIL")</x:f>
        <x:v>PASS</x:v>
      </x:c>
      <x:c r="E20" s="157"/>
      <x:c r="F20" s="157"/>
    </x:row>
    <x:row r="21">
      <x:c r="A21" s="157"/>
      <x:c r="B21" s="157"/>
      <x:c r="C21" s="157"/>
      <x:c r="D21" s="157"/>
      <x:c r="E21" s="157"/>
      <x:c r="F21" s="157"/>
    </x:row>
    <x:row r="22">
      <x:c r="A22" s="157"/>
      <x:c r="B22" s="157"/>
      <x:c r="C22" s="157"/>
      <x:c r="D22" s="157"/>
      <x:c r="E22" s="157"/>
      <x:c r="F22" s="157"/>
    </x:row>
    <x:row r="23">
      <x:c r="A23" s="169" t="str">
        <x:v>Overall model status</x:v>
      </x:c>
      <x:c r="B23" s="169" t="str">
        <x:f>IF(COUNTIF(D5:D20,"FAIL")=0,"PASS","FAIL")</x:f>
        <x:v>PASS</x:v>
      </x:c>
      <x:c r="C23" s="157"/>
      <x:c r="D23" s="157"/>
      <x:c r="E23" s="157"/>
      <x:c r="F23" s="157"/>
    </x:row>
  </x:sheetData>
  <x:mergeCells>
    <x:mergeCell ref="A1:F1"/>
    <x:mergeCell ref="A2:F2"/>
  </x:mergeCells>
  <x:conditionalFormatting sqref="D5:D2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